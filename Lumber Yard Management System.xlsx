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D:\Projects\الشادر\"/>
    </mc:Choice>
  </mc:AlternateContent>
  <xr:revisionPtr revIDLastSave="0" documentId="8_{3AE0B025-0969-413C-82CD-D899A5504C33}" xr6:coauthVersionLast="47" xr6:coauthVersionMax="47" xr10:uidLastSave="{00000000-0000-0000-0000-000000000000}"/>
  <bookViews>
    <workbookView xWindow="-108" yWindow="-108" windowWidth="23256" windowHeight="12456" tabRatio="959" activeTab="2" xr2:uid="{00000000-000D-0000-FFFF-FFFF00000000}"/>
  </bookViews>
  <sheets>
    <sheet name="Lumber Yard Dashboard " sheetId="20" r:id="rId1"/>
    <sheet name="Sales" sheetId="1" r:id="rId2"/>
    <sheet name="Inventory Movement" sheetId="13" r:id="rId3"/>
    <sheet name="Collections " sheetId="2" r:id="rId4"/>
    <sheet name="Accounts (Cash Accounts)" sheetId="18" r:id="rId5"/>
    <sheet name="Expenses" sheetId="19" r:id="rId6"/>
    <sheet name="Customer Receivables" sheetId="7" r:id="rId7"/>
    <sheet name="Wood Cutting" sheetId="14" r:id="rId8"/>
    <sheet name="Supplier Payments" sheetId="15" r:id="rId9"/>
    <sheet name="Suppliers" sheetId="16" r:id="rId10"/>
    <sheet name="Purchase Summary" sheetId="17" r:id="rId11"/>
    <sheet name="Purchase Details" sheetId="3" r:id="rId12"/>
    <sheet name="Opening Receivables" sheetId="6" r:id="rId13"/>
  </sheets>
  <externalReferences>
    <externalReference r:id="rId14"/>
  </externalReferences>
  <definedNames>
    <definedName name="_xlnm._FilterDatabase" localSheetId="3" hidden="1">'Collections '!$A$1:$E$136</definedName>
    <definedName name="_xlnm._FilterDatabase" localSheetId="1" hidden="1">Sales!$A$1:$P$201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8" i="20" l="1"/>
  <c r="M11" i="20"/>
  <c r="H11" i="20"/>
  <c r="I3" i="13"/>
  <c r="I2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D55" i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D200" i="1"/>
  <c r="D201" i="1"/>
  <c r="L201" i="1"/>
  <c r="M201" i="1" s="1"/>
  <c r="D193" i="1"/>
  <c r="D191" i="1"/>
  <c r="D192" i="1"/>
  <c r="D190" i="1"/>
  <c r="D194" i="1"/>
  <c r="D195" i="1"/>
  <c r="D196" i="1"/>
  <c r="D197" i="1"/>
  <c r="D198" i="1"/>
  <c r="D199" i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190" i="1"/>
  <c r="M190" i="1" s="1"/>
  <c r="D185" i="1"/>
  <c r="L185" i="1"/>
  <c r="M185" i="1" s="1"/>
  <c r="L186" i="1"/>
  <c r="M186" i="1" s="1"/>
  <c r="D188" i="1"/>
  <c r="D187" i="1"/>
  <c r="D186" i="1"/>
  <c r="D184" i="1"/>
  <c r="D180" i="1"/>
  <c r="D181" i="1"/>
  <c r="D182" i="1"/>
  <c r="D183" i="1"/>
  <c r="D189" i="1"/>
  <c r="L180" i="1"/>
  <c r="M180" i="1" s="1"/>
  <c r="L181" i="1"/>
  <c r="M181" i="1" s="1"/>
  <c r="L182" i="1"/>
  <c r="M182" i="1" s="1"/>
  <c r="L183" i="1"/>
  <c r="M183" i="1" s="1"/>
  <c r="L184" i="1"/>
  <c r="M184" i="1" s="1"/>
  <c r="L187" i="1"/>
  <c r="M187" i="1" s="1"/>
  <c r="L188" i="1"/>
  <c r="M188" i="1" s="1"/>
  <c r="L189" i="1"/>
  <c r="M189" i="1" s="1"/>
  <c r="D178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R2" i="1" l="1"/>
  <c r="R194" i="1"/>
  <c r="R182" i="1"/>
  <c r="R170" i="1"/>
  <c r="R158" i="1"/>
  <c r="R146" i="1"/>
  <c r="R134" i="1"/>
  <c r="R122" i="1"/>
  <c r="R110" i="1"/>
  <c r="R98" i="1"/>
  <c r="R86" i="1"/>
  <c r="R74" i="1"/>
  <c r="R62" i="1"/>
  <c r="R50" i="1"/>
  <c r="R38" i="1"/>
  <c r="R26" i="1"/>
  <c r="R14" i="1"/>
  <c r="R193" i="1"/>
  <c r="R181" i="1"/>
  <c r="R169" i="1"/>
  <c r="R157" i="1"/>
  <c r="R145" i="1"/>
  <c r="R133" i="1"/>
  <c r="R121" i="1"/>
  <c r="R109" i="1"/>
  <c r="R97" i="1"/>
  <c r="R85" i="1"/>
  <c r="R73" i="1"/>
  <c r="R61" i="1"/>
  <c r="R49" i="1"/>
  <c r="R37" i="1"/>
  <c r="R25" i="1"/>
  <c r="R13" i="1"/>
  <c r="R192" i="1"/>
  <c r="R180" i="1"/>
  <c r="R168" i="1"/>
  <c r="R156" i="1"/>
  <c r="R144" i="1"/>
  <c r="R132" i="1"/>
  <c r="R120" i="1"/>
  <c r="R108" i="1"/>
  <c r="R96" i="1"/>
  <c r="R84" i="1"/>
  <c r="R72" i="1"/>
  <c r="R60" i="1"/>
  <c r="R48" i="1"/>
  <c r="R36" i="1"/>
  <c r="R24" i="1"/>
  <c r="R12" i="1"/>
  <c r="R191" i="1"/>
  <c r="R179" i="1"/>
  <c r="R167" i="1"/>
  <c r="R155" i="1"/>
  <c r="R143" i="1"/>
  <c r="R131" i="1"/>
  <c r="R119" i="1"/>
  <c r="R107" i="1"/>
  <c r="R95" i="1"/>
  <c r="R83" i="1"/>
  <c r="R71" i="1"/>
  <c r="R59" i="1"/>
  <c r="R47" i="1"/>
  <c r="R35" i="1"/>
  <c r="R23" i="1"/>
  <c r="R11" i="1"/>
  <c r="R190" i="1"/>
  <c r="R178" i="1"/>
  <c r="R166" i="1"/>
  <c r="R154" i="1"/>
  <c r="R142" i="1"/>
  <c r="R130" i="1"/>
  <c r="R118" i="1"/>
  <c r="R106" i="1"/>
  <c r="R94" i="1"/>
  <c r="R82" i="1"/>
  <c r="R70" i="1"/>
  <c r="R58" i="1"/>
  <c r="R46" i="1"/>
  <c r="R34" i="1"/>
  <c r="R22" i="1"/>
  <c r="R10" i="1"/>
  <c r="R201" i="1"/>
  <c r="R189" i="1"/>
  <c r="R177" i="1"/>
  <c r="R165" i="1"/>
  <c r="R153" i="1"/>
  <c r="R141" i="1"/>
  <c r="R129" i="1"/>
  <c r="R117" i="1"/>
  <c r="R105" i="1"/>
  <c r="R93" i="1"/>
  <c r="R81" i="1"/>
  <c r="R69" i="1"/>
  <c r="R57" i="1"/>
  <c r="R45" i="1"/>
  <c r="R33" i="1"/>
  <c r="R21" i="1"/>
  <c r="R9" i="1"/>
  <c r="R200" i="1"/>
  <c r="R188" i="1"/>
  <c r="R176" i="1"/>
  <c r="R164" i="1"/>
  <c r="R152" i="1"/>
  <c r="R140" i="1"/>
  <c r="R128" i="1"/>
  <c r="R116" i="1"/>
  <c r="R104" i="1"/>
  <c r="R92" i="1"/>
  <c r="R80" i="1"/>
  <c r="R68" i="1"/>
  <c r="R56" i="1"/>
  <c r="R44" i="1"/>
  <c r="R32" i="1"/>
  <c r="R20" i="1"/>
  <c r="R8" i="1"/>
  <c r="R199" i="1"/>
  <c r="R187" i="1"/>
  <c r="R175" i="1"/>
  <c r="R163" i="1"/>
  <c r="R151" i="1"/>
  <c r="R139" i="1"/>
  <c r="R127" i="1"/>
  <c r="R115" i="1"/>
  <c r="R103" i="1"/>
  <c r="R91" i="1"/>
  <c r="R79" i="1"/>
  <c r="R67" i="1"/>
  <c r="R55" i="1"/>
  <c r="R43" i="1"/>
  <c r="R31" i="1"/>
  <c r="R19" i="1"/>
  <c r="R7" i="1"/>
  <c r="R198" i="1"/>
  <c r="R186" i="1"/>
  <c r="R174" i="1"/>
  <c r="R162" i="1"/>
  <c r="R150" i="1"/>
  <c r="R138" i="1"/>
  <c r="R126" i="1"/>
  <c r="R114" i="1"/>
  <c r="R102" i="1"/>
  <c r="R90" i="1"/>
  <c r="R78" i="1"/>
  <c r="R66" i="1"/>
  <c r="R54" i="1"/>
  <c r="R42" i="1"/>
  <c r="R30" i="1"/>
  <c r="R18" i="1"/>
  <c r="R6" i="1"/>
  <c r="R197" i="1"/>
  <c r="R185" i="1"/>
  <c r="R173" i="1"/>
  <c r="R161" i="1"/>
  <c r="R149" i="1"/>
  <c r="R137" i="1"/>
  <c r="R125" i="1"/>
  <c r="R113" i="1"/>
  <c r="R101" i="1"/>
  <c r="R89" i="1"/>
  <c r="R77" i="1"/>
  <c r="R65" i="1"/>
  <c r="R53" i="1"/>
  <c r="R41" i="1"/>
  <c r="R29" i="1"/>
  <c r="R17" i="1"/>
  <c r="R5" i="1"/>
  <c r="R196" i="1"/>
  <c r="R184" i="1"/>
  <c r="R172" i="1"/>
  <c r="R160" i="1"/>
  <c r="R148" i="1"/>
  <c r="R136" i="1"/>
  <c r="R124" i="1"/>
  <c r="R112" i="1"/>
  <c r="R100" i="1"/>
  <c r="R88" i="1"/>
  <c r="R76" i="1"/>
  <c r="R64" i="1"/>
  <c r="R52" i="1"/>
  <c r="R40" i="1"/>
  <c r="R28" i="1"/>
  <c r="R16" i="1"/>
  <c r="R4" i="1"/>
  <c r="R195" i="1"/>
  <c r="R183" i="1"/>
  <c r="R171" i="1"/>
  <c r="R159" i="1"/>
  <c r="R147" i="1"/>
  <c r="R135" i="1"/>
  <c r="R123" i="1"/>
  <c r="R111" i="1"/>
  <c r="R99" i="1"/>
  <c r="R87" i="1"/>
  <c r="R75" i="1"/>
  <c r="R63" i="1"/>
  <c r="R51" i="1"/>
  <c r="R39" i="1"/>
  <c r="R27" i="1"/>
  <c r="R15" i="1"/>
  <c r="R3" i="1"/>
  <c r="E56" i="7"/>
  <c r="E62" i="7"/>
  <c r="E61" i="7"/>
  <c r="E60" i="7"/>
  <c r="E59" i="7"/>
  <c r="E58" i="7"/>
  <c r="E57" i="7"/>
  <c r="E52" i="7"/>
  <c r="E53" i="7"/>
  <c r="E51" i="7"/>
  <c r="E55" i="7"/>
  <c r="E54" i="7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9" i="1"/>
  <c r="C56" i="7" l="1"/>
  <c r="C57" i="7"/>
  <c r="C58" i="7"/>
  <c r="C59" i="7"/>
  <c r="C60" i="7"/>
  <c r="C61" i="7"/>
  <c r="C62" i="7"/>
  <c r="C51" i="7"/>
  <c r="C52" i="7"/>
  <c r="C53" i="7"/>
  <c r="C54" i="7"/>
  <c r="C55" i="7"/>
  <c r="E2" i="16"/>
  <c r="E3" i="16"/>
  <c r="K2" i="17"/>
  <c r="K3" i="17"/>
  <c r="K4" i="17"/>
  <c r="K5" i="17"/>
  <c r="K6" i="17"/>
  <c r="K7" i="17"/>
  <c r="K8" i="17"/>
  <c r="K30" i="3"/>
  <c r="B2" i="18"/>
  <c r="D2" i="18"/>
  <c r="C2" i="18"/>
  <c r="D2" i="16"/>
  <c r="D3" i="16"/>
  <c r="E2" i="18" l="1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3" i="13"/>
  <c r="J4" i="13"/>
  <c r="K12" i="3"/>
  <c r="K13" i="3"/>
  <c r="K14" i="3"/>
  <c r="K22" i="3"/>
  <c r="K23" i="3"/>
  <c r="K24" i="3"/>
  <c r="K25" i="3"/>
  <c r="K26" i="3"/>
  <c r="K27" i="3"/>
  <c r="K28" i="3"/>
  <c r="K29" i="3"/>
  <c r="K16" i="3"/>
  <c r="K17" i="3"/>
  <c r="K18" i="3"/>
  <c r="K19" i="3"/>
  <c r="K20" i="3"/>
  <c r="K21" i="3"/>
  <c r="K15" i="3"/>
  <c r="J2" i="13"/>
  <c r="C21" i="6"/>
  <c r="C20" i="6"/>
  <c r="C19" i="6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C18" i="6"/>
  <c r="K11" i="3"/>
  <c r="K10" i="3"/>
  <c r="K9" i="3"/>
  <c r="K3" i="3"/>
  <c r="K4" i="3"/>
  <c r="K5" i="3"/>
  <c r="K6" i="3"/>
  <c r="K7" i="3"/>
  <c r="K8" i="3"/>
  <c r="K2" i="3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D61" i="7" l="1"/>
  <c r="F61" i="7" s="1"/>
  <c r="D62" i="7"/>
  <c r="F62" i="7" s="1"/>
  <c r="D60" i="7"/>
  <c r="F60" i="7" s="1"/>
  <c r="D56" i="7"/>
  <c r="F56" i="7" s="1"/>
  <c r="D57" i="7"/>
  <c r="F57" i="7" s="1"/>
  <c r="D58" i="7"/>
  <c r="F58" i="7" s="1"/>
  <c r="D59" i="7"/>
  <c r="F59" i="7" s="1"/>
  <c r="D51" i="7"/>
  <c r="F51" i="7" s="1"/>
  <c r="D52" i="7"/>
  <c r="F52" i="7" s="1"/>
  <c r="D53" i="7"/>
  <c r="F53" i="7" s="1"/>
  <c r="D54" i="7"/>
  <c r="F54" i="7" s="1"/>
  <c r="D55" i="7"/>
  <c r="F55" i="7" s="1"/>
  <c r="F3" i="16"/>
  <c r="F2" i="16"/>
  <c r="D48" i="7"/>
  <c r="D49" i="7"/>
  <c r="D47" i="7"/>
  <c r="D46" i="7"/>
  <c r="D45" i="7"/>
  <c r="D50" i="7"/>
  <c r="E48" i="7"/>
  <c r="E49" i="7"/>
  <c r="E47" i="7"/>
  <c r="E46" i="7"/>
  <c r="E45" i="7"/>
  <c r="E50" i="7"/>
  <c r="C2" i="7"/>
  <c r="C50" i="7"/>
  <c r="C49" i="7"/>
  <c r="C48" i="7"/>
  <c r="C47" i="7"/>
  <c r="C46" i="7"/>
  <c r="C45" i="7"/>
  <c r="E44" i="7"/>
  <c r="D44" i="7"/>
  <c r="C44" i="7"/>
  <c r="D38" i="7"/>
  <c r="C38" i="7"/>
  <c r="E38" i="7"/>
  <c r="K4" i="13"/>
  <c r="K14" i="13"/>
  <c r="L14" i="13" s="1"/>
  <c r="K26" i="13"/>
  <c r="L26" i="13" s="1"/>
  <c r="K38" i="13"/>
  <c r="L38" i="13" s="1"/>
  <c r="K34" i="13"/>
  <c r="L34" i="13" s="1"/>
  <c r="K22" i="13"/>
  <c r="L22" i="13" s="1"/>
  <c r="K10" i="13"/>
  <c r="L10" i="13" s="1"/>
  <c r="K45" i="13"/>
  <c r="L45" i="13" s="1"/>
  <c r="K33" i="13"/>
  <c r="L33" i="13" s="1"/>
  <c r="K21" i="13"/>
  <c r="L21" i="13" s="1"/>
  <c r="K9" i="13"/>
  <c r="L9" i="13" s="1"/>
  <c r="K44" i="13"/>
  <c r="L44" i="13" s="1"/>
  <c r="K32" i="13"/>
  <c r="L32" i="13" s="1"/>
  <c r="K20" i="13"/>
  <c r="L20" i="13" s="1"/>
  <c r="K8" i="13"/>
  <c r="L8" i="13" s="1"/>
  <c r="K43" i="13"/>
  <c r="L43" i="13" s="1"/>
  <c r="K31" i="13"/>
  <c r="L31" i="13" s="1"/>
  <c r="K19" i="13"/>
  <c r="L19" i="13" s="1"/>
  <c r="K7" i="13"/>
  <c r="L7" i="13" s="1"/>
  <c r="K42" i="13"/>
  <c r="L42" i="13" s="1"/>
  <c r="K30" i="13"/>
  <c r="L30" i="13" s="1"/>
  <c r="K18" i="13"/>
  <c r="L18" i="13" s="1"/>
  <c r="K6" i="13"/>
  <c r="L6" i="13" s="1"/>
  <c r="K35" i="13"/>
  <c r="L35" i="13" s="1"/>
  <c r="K11" i="13"/>
  <c r="L11" i="13" s="1"/>
  <c r="K41" i="13"/>
  <c r="L41" i="13" s="1"/>
  <c r="K29" i="13"/>
  <c r="L29" i="13" s="1"/>
  <c r="K17" i="13"/>
  <c r="L17" i="13" s="1"/>
  <c r="K5" i="13"/>
  <c r="L5" i="13" s="1"/>
  <c r="K23" i="13"/>
  <c r="L23" i="13" s="1"/>
  <c r="K40" i="13"/>
  <c r="L40" i="13" s="1"/>
  <c r="K28" i="13"/>
  <c r="L28" i="13" s="1"/>
  <c r="K16" i="13"/>
  <c r="L16" i="13" s="1"/>
  <c r="K39" i="13"/>
  <c r="L39" i="13" s="1"/>
  <c r="K27" i="13"/>
  <c r="L27" i="13" s="1"/>
  <c r="K15" i="13"/>
  <c r="L15" i="13" s="1"/>
  <c r="K3" i="13"/>
  <c r="L3" i="13" s="1"/>
  <c r="K36" i="13"/>
  <c r="L36" i="13" s="1"/>
  <c r="K24" i="13"/>
  <c r="L24" i="13" s="1"/>
  <c r="K12" i="13"/>
  <c r="L12" i="13" s="1"/>
  <c r="D8" i="7"/>
  <c r="D39" i="7"/>
  <c r="D40" i="7"/>
  <c r="E35" i="7"/>
  <c r="E43" i="7"/>
  <c r="C35" i="7"/>
  <c r="E42" i="7"/>
  <c r="D37" i="7"/>
  <c r="E41" i="7"/>
  <c r="D36" i="7"/>
  <c r="E40" i="7"/>
  <c r="D35" i="7"/>
  <c r="E39" i="7"/>
  <c r="C43" i="7"/>
  <c r="E37" i="7"/>
  <c r="C42" i="7"/>
  <c r="E36" i="7"/>
  <c r="C41" i="7"/>
  <c r="C40" i="7"/>
  <c r="D43" i="7"/>
  <c r="C39" i="7"/>
  <c r="D31" i="7"/>
  <c r="D42" i="7"/>
  <c r="C37" i="7"/>
  <c r="D41" i="7"/>
  <c r="C36" i="7"/>
  <c r="E8" i="7"/>
  <c r="D9" i="7"/>
  <c r="D32" i="7"/>
  <c r="D20" i="7"/>
  <c r="D26" i="7"/>
  <c r="D14" i="7"/>
  <c r="D25" i="7"/>
  <c r="D19" i="7"/>
  <c r="D13" i="7"/>
  <c r="D7" i="7"/>
  <c r="E19" i="7"/>
  <c r="E30" i="7"/>
  <c r="E6" i="7"/>
  <c r="D3" i="7"/>
  <c r="D30" i="7"/>
  <c r="D24" i="7"/>
  <c r="D18" i="7"/>
  <c r="D12" i="7"/>
  <c r="D6" i="7"/>
  <c r="E2" i="7"/>
  <c r="E29" i="7"/>
  <c r="E23" i="7"/>
  <c r="E17" i="7"/>
  <c r="E11" i="7"/>
  <c r="E5" i="7"/>
  <c r="D29" i="7"/>
  <c r="D11" i="7"/>
  <c r="D5" i="7"/>
  <c r="E25" i="7"/>
  <c r="E7" i="7"/>
  <c r="D17" i="7"/>
  <c r="E34" i="7"/>
  <c r="E28" i="7"/>
  <c r="E22" i="7"/>
  <c r="E16" i="7"/>
  <c r="E10" i="7"/>
  <c r="E4" i="7"/>
  <c r="E31" i="7"/>
  <c r="D2" i="7"/>
  <c r="D23" i="7"/>
  <c r="D34" i="7"/>
  <c r="D28" i="7"/>
  <c r="D22" i="7"/>
  <c r="D16" i="7"/>
  <c r="D10" i="7"/>
  <c r="D4" i="7"/>
  <c r="E13" i="7"/>
  <c r="E21" i="7"/>
  <c r="E3" i="7"/>
  <c r="E18" i="7"/>
  <c r="E33" i="7"/>
  <c r="E15" i="7"/>
  <c r="D33" i="7"/>
  <c r="D27" i="7"/>
  <c r="D21" i="7"/>
  <c r="D15" i="7"/>
  <c r="E24" i="7"/>
  <c r="E12" i="7"/>
  <c r="E27" i="7"/>
  <c r="E9" i="7"/>
  <c r="E32" i="7"/>
  <c r="E26" i="7"/>
  <c r="E20" i="7"/>
  <c r="E14" i="7"/>
  <c r="C3" i="7"/>
  <c r="C30" i="7"/>
  <c r="C21" i="7"/>
  <c r="C15" i="7"/>
  <c r="C9" i="7"/>
  <c r="C6" i="7"/>
  <c r="C24" i="7"/>
  <c r="C33" i="7"/>
  <c r="C12" i="7"/>
  <c r="C27" i="7"/>
  <c r="C18" i="7"/>
  <c r="C32" i="7"/>
  <c r="C29" i="7"/>
  <c r="C26" i="7"/>
  <c r="C23" i="7"/>
  <c r="C20" i="7"/>
  <c r="C17" i="7"/>
  <c r="C14" i="7"/>
  <c r="C11" i="7"/>
  <c r="C8" i="7"/>
  <c r="C5" i="7"/>
  <c r="C31" i="7"/>
  <c r="C25" i="7"/>
  <c r="C19" i="7"/>
  <c r="C13" i="7"/>
  <c r="C7" i="7"/>
  <c r="C4" i="7"/>
  <c r="C34" i="7"/>
  <c r="C28" i="7"/>
  <c r="C22" i="7"/>
  <c r="C16" i="7"/>
  <c r="C10" i="7"/>
  <c r="L4" i="13" l="1"/>
  <c r="F44" i="7"/>
  <c r="F48" i="7"/>
  <c r="F49" i="7"/>
  <c r="F45" i="7"/>
  <c r="F46" i="7"/>
  <c r="F47" i="7"/>
  <c r="F50" i="7"/>
  <c r="F38" i="7"/>
  <c r="K2" i="13"/>
  <c r="L2" i="13" s="1"/>
  <c r="K37" i="13"/>
  <c r="L37" i="13" s="1"/>
  <c r="K13" i="13"/>
  <c r="L13" i="13" s="1"/>
  <c r="K25" i="13"/>
  <c r="L25" i="13" s="1"/>
  <c r="F2" i="7"/>
  <c r="F12" i="7"/>
  <c r="F43" i="7"/>
  <c r="F16" i="7"/>
  <c r="F25" i="7"/>
  <c r="F34" i="7"/>
  <c r="F33" i="7"/>
  <c r="F22" i="7"/>
  <c r="F39" i="7"/>
  <c r="F31" i="7"/>
  <c r="F29" i="7"/>
  <c r="F40" i="7"/>
  <c r="F35" i="7"/>
  <c r="F37" i="7"/>
  <c r="F41" i="7"/>
  <c r="F18" i="7"/>
  <c r="F36" i="7"/>
  <c r="F42" i="7"/>
  <c r="F6" i="7"/>
  <c r="F8" i="7"/>
  <c r="F17" i="7"/>
  <c r="F20" i="7"/>
  <c r="F13" i="7"/>
  <c r="F30" i="7"/>
  <c r="F19" i="7"/>
  <c r="F32" i="7"/>
  <c r="F3" i="7"/>
  <c r="F5" i="7"/>
  <c r="F27" i="7"/>
  <c r="F14" i="7"/>
  <c r="F24" i="7"/>
  <c r="F10" i="7"/>
  <c r="F9" i="7"/>
  <c r="F28" i="7"/>
  <c r="F4" i="7"/>
  <c r="F15" i="7"/>
  <c r="F11" i="7"/>
  <c r="F23" i="7"/>
  <c r="F7" i="7"/>
  <c r="F26" i="7"/>
  <c r="F21" i="7"/>
  <c r="H18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3" xr16:uid="{00000000-0015-0000-FFFF-FFFF02000000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4" xr16:uid="{00000000-0015-0000-FFFF-FFFF03000000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<sst xmlns="http://schemas.openxmlformats.org/spreadsheetml/2006/main" count="2006" uniqueCount="330">
  <si>
    <t>A-001</t>
  </si>
  <si>
    <t>A-002</t>
  </si>
  <si>
    <t>A-003</t>
  </si>
  <si>
    <t>محمد غازي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</si>
  <si>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</si>
  <si>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</si>
  <si>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</si>
  <si>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</si>
  <si>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</si>
  <si>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</si>
  <si>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</si>
  <si>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</si>
  <si>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</si>
  <si>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</si>
  <si>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</si>
  <si>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</si>
  <si>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</si>
  <si>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</si>
  <si>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</si>
  <si>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</si>
  <si>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</si>
  <si>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</si>
  <si>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</si>
  <si>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</si>
  <si>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</si>
  <si>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</si>
  <si>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</si>
  <si>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</si>
  <si>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</si>
  <si>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</si>
  <si>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</si>
  <si>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</si>
  <si>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</si>
  <si>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</si>
  <si>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</si>
  <si>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</si>
  <si>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</si>
  <si>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</si>
  <si>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</si>
  <si>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</si>
  <si>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</si>
  <si>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</si>
  <si>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</si>
  <si>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</si>
  <si>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</t>
  </si>
  <si>
    <t>C-001</t>
  </si>
  <si>
    <t>C-002</t>
  </si>
  <si>
    <t>C-003</t>
  </si>
  <si>
    <t>C-004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</si>
  <si>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</si>
  <si>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</si>
  <si>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</si>
  <si>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</si>
  <si>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</si>
  <si>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</si>
  <si>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</si>
  <si>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</si>
  <si>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</si>
  <si>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</si>
  <si>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</si>
  <si>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</si>
  <si>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</si>
  <si>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</si>
  <si>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</si>
  <si>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</si>
  <si>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</si>
  <si>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</si>
  <si>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</si>
  <si>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</si>
  <si>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</si>
  <si>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</si>
  <si>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</si>
  <si>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</si>
  <si>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C-031</t>
  </si>
  <si>
    <t>C-032</t>
  </si>
  <si>
    <t>C-033</t>
  </si>
  <si>
    <t>C-034</t>
  </si>
  <si>
    <t>C-035</t>
  </si>
  <si>
    <t>A-045</t>
  </si>
  <si>
    <t>نقدي</t>
  </si>
  <si>
    <t>A-046</t>
  </si>
  <si>
    <t>عدد 30 عرق 3 متر</t>
  </si>
  <si>
    <t>عدد 155 عرق 270</t>
  </si>
  <si>
    <t>عروق علي الشحات</t>
  </si>
  <si>
    <t>A-047</t>
  </si>
  <si>
    <t>AC-001</t>
  </si>
  <si>
    <t>AC-002</t>
  </si>
  <si>
    <t>C-036</t>
  </si>
  <si>
    <t>C-037</t>
  </si>
  <si>
    <t>C-038</t>
  </si>
  <si>
    <t>C-039</t>
  </si>
  <si>
    <t>C-040</t>
  </si>
  <si>
    <t>C-041</t>
  </si>
  <si>
    <t>C-042</t>
  </si>
  <si>
    <t>C-043</t>
  </si>
  <si>
    <t>A-048</t>
  </si>
  <si>
    <t>عدد 10 عروق 3 متر</t>
  </si>
  <si>
    <t>A-049</t>
  </si>
  <si>
    <t>A-050</t>
  </si>
  <si>
    <t>A-051</t>
  </si>
  <si>
    <t>تحصيلا كاش</t>
  </si>
  <si>
    <t>SUP-001</t>
  </si>
  <si>
    <t>SUP-002</t>
  </si>
  <si>
    <t>A-052</t>
  </si>
  <si>
    <t>A-053</t>
  </si>
  <si>
    <t>A-054</t>
  </si>
  <si>
    <t>A-055</t>
  </si>
  <si>
    <t>تحصلات كاش</t>
  </si>
  <si>
    <t>A-056</t>
  </si>
  <si>
    <t>A-057</t>
  </si>
  <si>
    <t>C-044</t>
  </si>
  <si>
    <t>A-058</t>
  </si>
  <si>
    <t>C-045</t>
  </si>
  <si>
    <t>A-059</t>
  </si>
  <si>
    <t>A-060</t>
  </si>
  <si>
    <t>A-061</t>
  </si>
  <si>
    <t>A-062</t>
  </si>
  <si>
    <t>A-063</t>
  </si>
  <si>
    <t>عدد 60 عرق 270</t>
  </si>
  <si>
    <t>عدد 20 عرق 271</t>
  </si>
  <si>
    <t>عدد 6 عروق 3 متر</t>
  </si>
  <si>
    <t xml:space="preserve">   </t>
  </si>
  <si>
    <t>A-064</t>
  </si>
  <si>
    <t>AC-003</t>
  </si>
  <si>
    <t>A-065</t>
  </si>
  <si>
    <t>A-66</t>
  </si>
  <si>
    <t>A-67</t>
  </si>
  <si>
    <t>A-068</t>
  </si>
  <si>
    <t>A-083</t>
  </si>
  <si>
    <t>A-069</t>
  </si>
  <si>
    <t>A-070</t>
  </si>
  <si>
    <t>A-071</t>
  </si>
  <si>
    <t>A-072</t>
  </si>
  <si>
    <t>A-073</t>
  </si>
  <si>
    <t>A-074</t>
  </si>
  <si>
    <t>A-075</t>
  </si>
  <si>
    <t>A-076</t>
  </si>
  <si>
    <t>A-077</t>
  </si>
  <si>
    <t>A-078</t>
  </si>
  <si>
    <t>A-079</t>
  </si>
  <si>
    <t>A-080</t>
  </si>
  <si>
    <t>A-081</t>
  </si>
  <si>
    <t>A-082</t>
  </si>
  <si>
    <t>A-084</t>
  </si>
  <si>
    <t>C-046</t>
  </si>
  <si>
    <t>C-047</t>
  </si>
  <si>
    <t>C-048</t>
  </si>
  <si>
    <t>C-049</t>
  </si>
  <si>
    <t>SUP-003</t>
  </si>
  <si>
    <t>AC-004</t>
  </si>
  <si>
    <t>A-085</t>
  </si>
  <si>
    <t>A-086</t>
  </si>
  <si>
    <t>C-050</t>
  </si>
  <si>
    <t>C-051</t>
  </si>
  <si>
    <t>C-052</t>
  </si>
  <si>
    <t>C-053</t>
  </si>
  <si>
    <t>C-054</t>
  </si>
  <si>
    <t>A-087</t>
  </si>
  <si>
    <t>A-088</t>
  </si>
  <si>
    <t>A-089</t>
  </si>
  <si>
    <t>A-090</t>
  </si>
  <si>
    <t>A-091</t>
  </si>
  <si>
    <t>A-092</t>
  </si>
  <si>
    <t>C-055</t>
  </si>
  <si>
    <t>C-056</t>
  </si>
  <si>
    <t>A-093</t>
  </si>
  <si>
    <t>A-094</t>
  </si>
  <si>
    <t>A-095</t>
  </si>
  <si>
    <t>A-096</t>
  </si>
  <si>
    <t>C-057</t>
  </si>
  <si>
    <t>A-097</t>
  </si>
  <si>
    <t>A-098</t>
  </si>
  <si>
    <t>C-058</t>
  </si>
  <si>
    <t>سعر المتر علينا</t>
  </si>
  <si>
    <t>التكلفة</t>
  </si>
  <si>
    <t>Invoice No.</t>
  </si>
  <si>
    <t>Date</t>
  </si>
  <si>
    <t>Customer Name</t>
  </si>
  <si>
    <t>Customer ID</t>
  </si>
  <si>
    <t>Wood Type</t>
  </si>
  <si>
    <t>Category</t>
  </si>
  <si>
    <t>Width (cm)</t>
  </si>
  <si>
    <t>Thickness (cm)</t>
  </si>
  <si>
    <t>Length (cm)</t>
  </si>
  <si>
    <t>Quantity</t>
  </si>
  <si>
    <t>Volume (m³)</t>
  </si>
  <si>
    <t>Price / m³</t>
  </si>
  <si>
    <t>Total Amount</t>
  </si>
  <si>
    <t>Agreed Amount</t>
  </si>
  <si>
    <t>Paid Amount</t>
  </si>
  <si>
    <t>Payment Method</t>
  </si>
  <si>
    <t>Product Form</t>
  </si>
  <si>
    <t>Opening Stock</t>
  </si>
  <si>
    <t>Sales</t>
  </si>
  <si>
    <t>Internal Cutting</t>
  </si>
  <si>
    <t>External Cutting</t>
  </si>
  <si>
    <t>Purchases</t>
  </si>
  <si>
    <t>Current Stock</t>
  </si>
  <si>
    <t>Collected Amount</t>
  </si>
  <si>
    <t>Transaction Type</t>
  </si>
  <si>
    <t>Opening Balance</t>
  </si>
  <si>
    <t>Collections</t>
  </si>
  <si>
    <t>Supplier Payments</t>
  </si>
  <si>
    <t>Expenses</t>
  </si>
  <si>
    <t>Current Balance</t>
  </si>
  <si>
    <t>Amount</t>
  </si>
  <si>
    <t>Description</t>
  </si>
  <si>
    <t>Expense Category</t>
  </si>
  <si>
    <t>Total Sales</t>
  </si>
  <si>
    <t>Total Payments</t>
  </si>
  <si>
    <t>Outstanding Balance</t>
  </si>
  <si>
    <t>Operation ID</t>
  </si>
  <si>
    <t>Movement Type</t>
  </si>
  <si>
    <t>Supplier ID</t>
  </si>
  <si>
    <t>Payment Amount</t>
  </si>
  <si>
    <t>Notes</t>
  </si>
  <si>
    <t>Supplier Invoice No.</t>
  </si>
  <si>
    <t>Supplier Name</t>
  </si>
  <si>
    <t>Price per Cubic Meter</t>
  </si>
  <si>
    <t>Total Purchases</t>
  </si>
  <si>
    <t>Average Purchase Price</t>
  </si>
  <si>
    <t>Opening Balance Date</t>
  </si>
  <si>
    <t>taha sharaf</t>
  </si>
  <si>
    <t>samy zalat</t>
  </si>
  <si>
    <t>yasser</t>
  </si>
  <si>
    <t>goda elbtanony</t>
  </si>
  <si>
    <t>alaa salama</t>
  </si>
  <si>
    <t>alam shahen</t>
  </si>
  <si>
    <t>custmer 1</t>
  </si>
  <si>
    <t>custmer 10</t>
  </si>
  <si>
    <t>custmer 11</t>
  </si>
  <si>
    <t>custmer 12</t>
  </si>
  <si>
    <t>custmer 13</t>
  </si>
  <si>
    <t>custmer 2</t>
  </si>
  <si>
    <t>custmer 3</t>
  </si>
  <si>
    <t>custmer 4</t>
  </si>
  <si>
    <t>custmer 5</t>
  </si>
  <si>
    <t>custmer 6</t>
  </si>
  <si>
    <t>custmer 7</t>
  </si>
  <si>
    <t>custmer 8</t>
  </si>
  <si>
    <t>mohamed ghazy</t>
  </si>
  <si>
    <t>yasser moto</t>
  </si>
  <si>
    <t>samir elshater</t>
  </si>
  <si>
    <t>mohamed ali</t>
  </si>
  <si>
    <t>eng mohamed mostafa</t>
  </si>
  <si>
    <t>alhag araby</t>
  </si>
  <si>
    <t>custmer 14</t>
  </si>
  <si>
    <t>custmer 15</t>
  </si>
  <si>
    <t>hassan ali fesha</t>
  </si>
  <si>
    <t>custmer 16</t>
  </si>
  <si>
    <t>custmer 17</t>
  </si>
  <si>
    <t>custmer 18</t>
  </si>
  <si>
    <t>custmer 19</t>
  </si>
  <si>
    <t>custmer 20</t>
  </si>
  <si>
    <t>abdelhameed elbrol</t>
  </si>
  <si>
    <t>mahmoud adel</t>
  </si>
  <si>
    <t>foad elhela</t>
  </si>
  <si>
    <t>mohamed etman</t>
  </si>
  <si>
    <t>ali elshhat</t>
  </si>
  <si>
    <t>custmer 21</t>
  </si>
  <si>
    <t>custmer 22</t>
  </si>
  <si>
    <t>custmer 23</t>
  </si>
  <si>
    <t>custmer 24</t>
  </si>
  <si>
    <t>custmer 25</t>
  </si>
  <si>
    <t>assel hdya</t>
  </si>
  <si>
    <t>elsayed badawy</t>
  </si>
  <si>
    <t>elsayed abdallah</t>
  </si>
  <si>
    <t>elsayed madyan</t>
  </si>
  <si>
    <t>ragab elwassal</t>
  </si>
  <si>
    <t>tba3 elsayed madyan</t>
  </si>
  <si>
    <t>shawky</t>
  </si>
  <si>
    <t>emad elseedy</t>
  </si>
  <si>
    <t>mohamed elgedawy</t>
  </si>
  <si>
    <t>ashraf mhalet marhoum</t>
  </si>
  <si>
    <t>ahmed antar</t>
  </si>
  <si>
    <t>shokry elgahsh</t>
  </si>
  <si>
    <t>abdelazem mosbah</t>
  </si>
  <si>
    <t>salah eltawel</t>
  </si>
  <si>
    <t>Shalboard</t>
  </si>
  <si>
    <t>Sixth Grade</t>
  </si>
  <si>
    <t>New Timber</t>
  </si>
  <si>
    <t>Used Timber</t>
  </si>
  <si>
    <t>Boards</t>
  </si>
  <si>
    <t>Battens</t>
  </si>
  <si>
    <t>Beams</t>
  </si>
  <si>
    <t>Credit</t>
  </si>
  <si>
    <t xml:space="preserve">Credit </t>
  </si>
  <si>
    <t>credit</t>
  </si>
  <si>
    <t>Cash</t>
  </si>
  <si>
    <t xml:space="preserve">Cash </t>
  </si>
  <si>
    <t>Cash Collection</t>
  </si>
  <si>
    <t>Credit Collection</t>
  </si>
  <si>
    <t>Out</t>
  </si>
  <si>
    <t>In</t>
  </si>
  <si>
    <t>mohamed zalat</t>
  </si>
  <si>
    <t>Breakfast</t>
  </si>
  <si>
    <t>sayed zalat</t>
  </si>
  <si>
    <t>khaled khadr</t>
  </si>
  <si>
    <t>sugar</t>
  </si>
  <si>
    <t>sugar ونضافة</t>
  </si>
  <si>
    <t>sayed badawy</t>
  </si>
  <si>
    <t>mansour elshafeey</t>
  </si>
  <si>
    <t>Breakfast and tea</t>
  </si>
  <si>
    <t>tea</t>
  </si>
  <si>
    <t>catle</t>
  </si>
  <si>
    <t>vodafone cash</t>
  </si>
  <si>
    <t>Electricity Bill</t>
  </si>
  <si>
    <t>Statement</t>
  </si>
  <si>
    <t>Ballpoint Pen</t>
  </si>
  <si>
    <t>Cash Withdrawal</t>
  </si>
  <si>
    <t>Tips</t>
  </si>
  <si>
    <t>Measuring Tape Purchase</t>
  </si>
  <si>
    <t>Wood Transportation</t>
  </si>
  <si>
    <t>Forklift</t>
  </si>
  <si>
    <t>Cart</t>
  </si>
  <si>
    <t>Purchase Assistance Payment</t>
  </si>
  <si>
    <t>Labor Expenses</t>
  </si>
  <si>
    <t>Facility Expenses</t>
  </si>
  <si>
    <t>Owner Withdrawal</t>
  </si>
  <si>
    <t>Salary</t>
  </si>
  <si>
    <t>Wood Cost</t>
  </si>
  <si>
    <t>Customer Expenses</t>
  </si>
  <si>
    <t>Bank Transfer</t>
  </si>
  <si>
    <t>Gamal</t>
  </si>
  <si>
    <t>Ibrahim Nasr</t>
  </si>
  <si>
    <t>Lumber Yard Management Dashboard</t>
  </si>
  <si>
    <t>Total Inventory</t>
  </si>
  <si>
    <t>Estimated Inventory Value</t>
  </si>
  <si>
    <t>Customer Receivables</t>
  </si>
  <si>
    <t>Supplier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</si>
</sst>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yy;@"/>
    <numFmt numFmtId="165" formatCode="0.0"/>
    <numFmt numFmtId="166" formatCode="0.00&quot; م³&quot;"/>
    <numFmt numFmtId="167" formatCode="#,##0&quot; ج.م&quot;"/>
    <numFmt numFmtId="174" formatCode="0.00&quot; m³&quot;"/>
    <numFmt numFmtId="175" formatCode="#,##0&quot; EGP&quot;"/>
  </numFmts>
  <fonts count="6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2" borderId="2" xfId="0" applyNumberFormat="1" applyFill="1" applyBorder="1"/>
    <xf numFmtId="164" fontId="0" fillId="0" borderId="2" xfId="0" applyNumberFormat="1" applyBorder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0" fontId="3" fillId="3" borderId="0" xfId="0" applyFont="1" applyFill="1"/>
    <xf numFmtId="0" fontId="3" fillId="3" borderId="10" xfId="0" applyFont="1" applyFill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174" fontId="4" fillId="4" borderId="7" xfId="0" applyNumberFormat="1" applyFont="1" applyFill="1" applyBorder="1" applyAlignment="1">
      <alignment horizontal="center"/>
    </xf>
    <xf numFmtId="174" fontId="4" fillId="4" borderId="0" xfId="0" applyNumberFormat="1" applyFont="1" applyFill="1" applyAlignment="1">
      <alignment horizontal="center"/>
    </xf>
    <xf numFmtId="174" fontId="4" fillId="4" borderId="8" xfId="0" applyNumberFormat="1" applyFont="1" applyFill="1" applyBorder="1" applyAlignment="1">
      <alignment horizontal="center"/>
    </xf>
    <xf numFmtId="174" fontId="4" fillId="4" borderId="9" xfId="0" applyNumberFormat="1" applyFont="1" applyFill="1" applyBorder="1" applyAlignment="1">
      <alignment horizontal="center"/>
    </xf>
    <xf numFmtId="174" fontId="4" fillId="4" borderId="10" xfId="0" applyNumberFormat="1" applyFont="1" applyFill="1" applyBorder="1" applyAlignment="1">
      <alignment horizontal="center"/>
    </xf>
    <xf numFmtId="174" fontId="4" fillId="4" borderId="11" xfId="0" applyNumberFormat="1" applyFont="1" applyFill="1" applyBorder="1" applyAlignment="1">
      <alignment horizontal="center"/>
    </xf>
    <xf numFmtId="175" fontId="4" fillId="4" borderId="7" xfId="0" applyNumberFormat="1" applyFont="1" applyFill="1" applyBorder="1" applyAlignment="1">
      <alignment horizontal="center"/>
    </xf>
    <xf numFmtId="175" fontId="4" fillId="4" borderId="0" xfId="0" applyNumberFormat="1" applyFont="1" applyFill="1" applyAlignment="1">
      <alignment horizontal="center"/>
    </xf>
    <xf numFmtId="175" fontId="4" fillId="4" borderId="8" xfId="0" applyNumberFormat="1" applyFont="1" applyFill="1" applyBorder="1" applyAlignment="1">
      <alignment horizontal="center"/>
    </xf>
    <xf numFmtId="175" fontId="4" fillId="4" borderId="9" xfId="0" applyNumberFormat="1" applyFont="1" applyFill="1" applyBorder="1" applyAlignment="1">
      <alignment horizontal="center"/>
    </xf>
    <xf numFmtId="175" fontId="4" fillId="4" borderId="10" xfId="0" applyNumberFormat="1" applyFont="1" applyFill="1" applyBorder="1" applyAlignment="1">
      <alignment horizontal="center"/>
    </xf>
    <xf numFmtId="175" fontId="4" fillId="4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38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" formatCode="0"/>
    </dxf>
    <dxf>
      <numFmt numFmtId="0" formatCode="General"/>
    </dxf>
    <dxf>
      <numFmt numFmtId="19" formatCode="m/d/yyyy"/>
    </dxf>
    <dxf>
      <numFmt numFmtId="1" formatCode="0"/>
    </dxf>
    <dxf>
      <numFmt numFmtId="165" formatCode="0.0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582;&#1575;&#1589;%20&#1576;&#1575;&#1604;&#1588;&#1575;&#1583;&#1585;/&#1575;&#1583;&#1575;&#1585;&#1577;%20&#1575;&#1604;&#1588;&#1575;&#1583;&#1585;.xlsx" TargetMode="External"/><Relationship Id="rId2" Type="http://schemas.openxmlformats.org/officeDocument/2006/relationships/externalLinkPath" Target="file:///D:\&#1582;&#1575;&#1589;%20&#1576;&#1575;&#1604;&#1588;&#1575;&#1583;&#1585;\&#1575;&#1583;&#1575;&#1585;&#1577;%20&#1575;&#1604;&#1588;&#1575;&#1583;&#1585;.xlsx" TargetMode="External"/><Relationship Id="rId1" Type="http://schemas.openxmlformats.org/officeDocument/2006/relationships/externalLinkPath" Target="/&#1582;&#1575;&#1589;%20&#1576;&#1575;&#1604;&#1588;&#1575;&#1583;&#1585;/&#1575;&#1583;&#1575;&#1585;&#1577;%20&#1575;&#1604;&#1588;&#1575;&#1583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المبيعات"/>
      <sheetName val="التحصيلات "/>
      <sheetName val="المديونيات"/>
      <sheetName val="الحسابات"/>
      <sheetName val="Sheet1"/>
      <sheetName val="المخزون"/>
      <sheetName val="دفعات الموردين"/>
      <sheetName val="الموردين"/>
      <sheetName val="المصروفات"/>
      <sheetName val="المشتريات"/>
      <sheetName val="مديونيات قديمة لينا"/>
      <sheetName val="ادارة الشادر"/>
    </sheetNames>
    <sheetDataSet>
      <sheetData sheetId="0"/>
      <sheetData sheetId="1"/>
      <sheetData sheetId="2">
        <row r="1">
          <cell r="A1" t="str">
            <v xml:space="preserve">العميل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6B6BC-9B63-4971-ABDE-6C54186045A8}" name="Table1" displayName="Table1" ref="A1:R202" totalsRowCount="1">
  <autoFilter ref="A1:R201" xr:uid="{E036B6BC-9B63-4971-ABDE-6C54186045A8}"/>
  <sortState xmlns:xlrd2="http://schemas.microsoft.com/office/spreadsheetml/2017/richdata2" ref="A2:P115">
    <sortCondition ref="A1:A115"/>
  </sortState>
  <tableColumns count="18">
    <tableColumn id="1" xr3:uid="{C5D4F1D6-BE03-434A-85D0-1233F3283E10}" name="Invoice No."/>
    <tableColumn id="2" xr3:uid="{4E0647A4-7400-4AE2-AFBE-DE7BCC8A56CB}" name="Date" dataDxfId="36"/>
    <tableColumn id="3" xr3:uid="{2B04B783-F32D-44BB-B9C1-558D31E8E894}" name="Customer Name"/>
    <tableColumn id="4" xr3:uid="{4C672024-14B5-40E8-BC78-A2B25863C712}" name="Customer ID" dataDxfId="35">
      <calculatedColumnFormula>IF(Table1[[#This Row],[Customer Name]]="", "",_xlfn.XLOOKUP(C2,Table7[Customer Name],Table7[Customer ID]," "))</calculatedColumnFormula>
    </tableColumn>
    <tableColumn id="17" xr3:uid="{A6E4D961-E488-469A-9948-F951EAB534BB}" name="Wood Type" dataDxfId="34"/>
    <tableColumn id="6" xr3:uid="{77A98E83-4D99-4CCD-B3CA-E032BD4CE222}" name="Category"/>
    <tableColumn id="16" xr3:uid="{58B64168-EDDE-4421-93AD-E3CDF6045444}" name="Width (cm)"/>
    <tableColumn id="7" xr3:uid="{C6584231-B41F-486B-BC9D-8A653891E689}" name="Thickness (cm)"/>
    <tableColumn id="8" xr3:uid="{F71B499C-2A96-48E3-93E5-0ADE62D83940}" name="Price / m³"/>
    <tableColumn id="9" xr3:uid="{C4960CE7-EEC2-4BDE-A4A9-3E155D60FFD8}" name="Length (cm)"/>
    <tableColumn id="10" xr3:uid="{777EAC57-8922-451A-B547-0799E777F94A}" name="Quantity"/>
    <tableColumn id="11" xr3:uid="{006EAFCC-10BC-4156-8C38-44638A61807D}" name="Volume (m³)" dataDxfId="33">
      <calculatedColumnFormula>IF(OR(Table1[[#This Row],[Quantity]]="",Table1[[#This Row],[Length (cm)]]=""),"",(Table1[[#This Row],[Width (cm)]]/100)*(Table1[[#This Row],[Thickness (cm)]]/100)*(Table1[[#This Row],[Length (cm)]]/100)*Table1[[#This Row],[Quantity]])</calculatedColumnFormula>
    </tableColumn>
    <tableColumn id="12" xr3:uid="{021A6957-C977-4C79-9DE6-572C5448E332}" name="Total Amount" dataDxfId="32">
      <calculatedColumnFormula>IF(Table1[[#This Row],[Volume (m³)]]="","",Table1[[#This Row],[Volume (m³)]]*Table1[[#This Row],[Price / m³]])</calculatedColumnFormula>
    </tableColumn>
    <tableColumn id="13" xr3:uid="{B3C9E2E5-D30D-4723-9FC6-24D6DF41E018}" name="Agreed Amount"/>
    <tableColumn id="14" xr3:uid="{CF575CD5-5ECB-41EF-9246-ECADA87CA8FC}" name="Paid Amount"/>
    <tableColumn id="15" xr3:uid="{C27E62C8-A227-4791-AFDA-F067090930B1}" name="Payment Method"/>
    <tableColumn id="18" xr3:uid="{CBBBA904-FA3C-43C0-AB2A-6887F56A2E77}" name="سعر المتر علينا"/>
    <tableColumn id="19" xr3:uid="{F9E259DD-9F46-4CDD-830D-8CDAA6D88C38}" name="التكلفة" dataDxfId="31">
      <calculatedColumnFormula>Table1[[#This Row],[سعر المتر علينا]]*Table1[[#This Row],[Volume (m³)]]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490B0-5E63-4C83-AFDC-F3B1E6361F82}" name="Table2" displayName="Table2" ref="A1:L45" totalsRowShown="0">
  <autoFilter ref="A1:L45" xr:uid="{9AD490B0-5E63-4C83-AFDC-F3B1E6361F82}"/>
  <tableColumns count="12">
    <tableColumn id="1" xr3:uid="{F82A181B-2D15-4E2B-A1D4-78E02225B713}" name="Wood Type"/>
    <tableColumn id="2" xr3:uid="{FE0A701D-6D90-4788-BC36-3AF1F40AB509}" name="Product Form"/>
    <tableColumn id="3" xr3:uid="{5B271402-E2C5-4E4E-80AB-37C6CCF6F064}" name="Width (cm)"/>
    <tableColumn id="4" xr3:uid="{D828283E-51DC-4A26-B47B-B41B2AB130C7}" name="Thickness (cm)"/>
    <tableColumn id="5" xr3:uid="{7603778C-2D19-45F7-A5CF-0F3BF33A3F12}" name="Length (cm)"/>
    <tableColumn id="6" xr3:uid="{F0089A13-C55C-4B2C-A919-C1F5F0FB5C17}" name="Opening Stock" dataDxfId="30"/>
    <tableColumn id="7" xr3:uid="{8F2694C1-AD3A-4681-9800-600EBEB9E5C7}" name="Sales" dataDxfId="29">
      <calculatedColumnFormula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calculatedColumnFormula>
    </tableColumn>
    <tableColumn id="8" xr3:uid="{0DAD0B49-5AE4-45EB-93E6-CC9B43467580}" name="Internal Cutting" dataDxfId="3">
      <calculatedColumnFormula>SUMIFS(Table4[Quantity],Table4[Wood Type],'Inventory Movement'!A2,Table4[Product Form],'Inventory Movement'!B2,Table4[Width (cm)],'Inventory Movement'!C2,Table4[Thickness (cm)],'Inventory Movement'!D2,Table4[Length (cm)],'Inventory Movement'!E2,Table4[Movement Type],"In")</calculatedColumnFormula>
    </tableColumn>
    <tableColumn id="9" xr3:uid="{F2C9099A-D746-4FB8-AECF-CF3F3ED44BE1}" name="External Cutting" dataDxfId="2">
      <calculatedColumnFormula>SUMIFS(Table4[Quantity],Table4[Wood Type],'Inventory Movement'!A2,Table4[Product Form],'Inventory Movement'!B2,Table4[Width (cm)],'Inventory Movement'!C2,Table4[Thickness (cm)],'Inventory Movement'!D2,Table4[Length (cm)],'Inventory Movement'!E2,Table4[Movement Type],"Out")</calculatedColumnFormula>
    </tableColumn>
    <tableColumn id="10" xr3:uid="{C913977B-5B18-4CE0-9F8B-50CFCBE8317D}" name="Purchases">
      <calculatedColumnFormula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calculatedColumnFormula>
    </tableColumn>
    <tableColumn id="11" xr3:uid="{FB9A60E2-03B6-4B1D-95BD-AF697763F3F9}" name="Current Stock" dataDxfId="28">
      <calculatedColumnFormula>(Table2[[#This Row],[Opening Stock]]+Table2[[#This Row],[Internal Cutting]]+Table2[[#This Row],[Purchases]])-(Table2[[#This Row],[Sales]]+Table2[[#This Row],[External Cutting]])</calculatedColumnFormula>
    </tableColumn>
    <tableColumn id="12" xr3:uid="{ED72D2D2-C457-4F77-9C55-3810AF2FA68B}" name="Volume (m³)" dataDxfId="27">
      <calculatedColumnFormula>(C2/100)*(D2/100)*(E2/100)*Table2[[#This Row],[Current Stock]]</calculatedColumnFormula>
    </tableColumn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7B991-F12A-4B4C-B84E-CF3FDD4EF0D6}" name="Table3" displayName="Table3" ref="A1:E136" totalsRowShown="0">
  <tableColumns count="5">
    <tableColumn id="1" xr3:uid="{376D3630-E443-4767-AD01-CF159AFFF82C}" name="Date" dataDxfId="26"/>
    <tableColumn id="2" xr3:uid="{0FFB4DB4-7CBF-4054-9AB8-F1247E2E83AB}" name="Customer Name"/>
    <tableColumn id="3" xr3:uid="{EE67B976-E1B5-472B-A2F4-242AF60273B5}" name="Customer ID" dataDxfId="25">
      <calculatedColumnFormula>_xlfn.XLOOKUP(B2,'Customer Receivables'!A:A,'Customer Receivables'!B:B," ")</calculatedColumnFormula>
    </tableColumn>
    <tableColumn id="4" xr3:uid="{C837DC8B-211B-4A75-940B-B7DB45831F1C}" name="Collected Amount"/>
    <tableColumn id="5" xr3:uid="{896E51E4-38E2-4FFF-A6DD-5CF0FC069314}" name="Transaction Type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FF59A9-0CA5-4E5A-BBDA-30A6F42B0895}" name="Table410" displayName="Table410" ref="A1:E3" totalsRowShown="0">
  <tableColumns count="5">
    <tableColumn id="1" xr3:uid="{D7805FF9-C68A-499C-B62F-D1CB35E4DEB3}" name="Opening Balance" dataDxfId="24">
      <calculatedColumnFormula>SUM([1]!Table3[المبلغ المحصل])</calculatedColumnFormula>
    </tableColumn>
    <tableColumn id="2" xr3:uid="{437F3DE3-BCD1-4153-BB9E-F0863D8B1890}" name="Collections" dataDxfId="23">
      <calculatedColumnFormula>SUM(Table3[Collected Amount])</calculatedColumnFormula>
    </tableColumn>
    <tableColumn id="3" xr3:uid="{B1D74229-9F8A-4CAE-9752-BB20C9B89736}" name="Supplier Payments" dataDxfId="22">
      <calculatedColumnFormula>SUM(Table6[Payment Amount])</calculatedColumnFormula>
    </tableColumn>
    <tableColumn id="4" xr3:uid="{CD3F439A-6FD4-446B-9D46-157C58042F76}" name="Expenses" dataDxfId="21">
      <calculatedColumnFormula>SUM(Table10[Amount])</calculatedColumnFormula>
    </tableColumn>
    <tableColumn id="5" xr3:uid="{F183187E-0060-4F8E-89BE-8A9A09AC0237}" name="Current Balance" dataDxfId="20">
      <calculatedColumnFormula>Table410[[#This Row],[Opening Balance]]+Table410[[#This Row],[Collections]]-Table410[[#This Row],[Supplier Payments]]-Table410[[#This Row],[Expenses]]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1050DB-60D5-425F-B2E4-CFA0F29CF68D}" name="Table10" displayName="Table10" ref="A1:D73" totalsRowCount="1">
  <autoFilter ref="A1:D72" xr:uid="{C81050DB-60D5-425F-B2E4-CFA0F29CF68D}"/>
  <tableColumns count="4">
    <tableColumn id="1" xr3:uid="{26823E93-AF56-4AF1-84DE-A308BA03AFE2}" name="Date" dataDxfId="0" totalsRowDxfId="1"/>
    <tableColumn id="2" xr3:uid="{51E088E7-3684-402B-8EC9-8AB72A08CC03}" name="Amount"/>
    <tableColumn id="3" xr3:uid="{0367C92A-848C-4EA2-A296-EB9227D6A922}" name="Description"/>
    <tableColumn id="4" xr3:uid="{E9B9B0B1-7234-4478-AC0A-7E112D6025EF}" name="Expense 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6F5D7B-6862-4E8A-A0C1-8EF7E3190939}" name="Table7" displayName="Table7" ref="A1:F63" totalsRowCount="1">
  <autoFilter ref="A1:F62" xr:uid="{456F5D7B-6862-4E8A-A0C1-8EF7E3190939}">
    <filterColumn colId="5">
      <filters>
        <filter val="1800"/>
        <filter val="20800"/>
        <filter val="219000"/>
        <filter val="42710"/>
        <filter val="600"/>
        <filter val="6355"/>
        <filter val="8400"/>
        <filter val="9000"/>
        <filter val="9560"/>
      </filters>
    </filterColumn>
  </autoFilter>
  <tableColumns count="6">
    <tableColumn id="1" xr3:uid="{84A2221F-5FC6-4CA3-88C9-12E4E5709C2B}" name="Customer Name" dataDxfId="19"/>
    <tableColumn id="2" xr3:uid="{1C79D2F1-160A-4D1E-A6C1-739CE92A9849}" name="Customer ID"/>
    <tableColumn id="3" xr3:uid="{32C3618E-9B6B-46BE-82F4-11B58E7E049B}" name="Total Sales" dataDxfId="18">
      <calculatedColumnFormula>SUMIF(Table1[Customer ID],'Customer Receivables'!B2,Table1[Agreed Amount])</calculatedColumnFormula>
    </tableColumn>
    <tableColumn id="6" xr3:uid="{A07B4426-249B-4238-B05F-769BF698C206}" name="Opening Balance" dataDxfId="17">
      <calculatedColumnFormula>SUMIF('Opening Receivables'!C:C,'Customer Receivables'!B2,'Opening Receivables'!D:D)</calculatedColumnFormula>
    </tableColumn>
    <tableColumn id="4" xr3:uid="{3FA429B2-3D25-491D-9498-DF47BDDE608B}" name="Total Payments" dataDxfId="16">
      <calculatedColumnFormula>SUMIF(Table3[Customer ID],'Customer Receivables'!B2,Table3[Collected Amount])</calculatedColumnFormula>
    </tableColumn>
    <tableColumn id="5" xr3:uid="{ED8B0E00-657A-4854-9A15-AB442707656B}" name="Outstanding Balance" dataDxfId="15">
      <calculatedColumnFormula>C2+D2-E2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2D18EE-4F7C-48DB-8E53-2CCB9703C812}" name="Table4" displayName="Table4" ref="A1:I20" totalsRowShown="0">
  <autoFilter ref="A1:I20" xr:uid="{272D18EE-4F7C-48DB-8E53-2CCB9703C812}"/>
  <tableColumns count="9">
    <tableColumn id="1" xr3:uid="{1ACE6C4F-99F6-4470-84C3-F649849707BD}" name="Operation ID"/>
    <tableColumn id="2" xr3:uid="{CCF4C5AD-98D3-41B8-A7AC-2D1DB9F167D7}" name="Date" dataDxfId="14"/>
    <tableColumn id="3" xr3:uid="{CB07029A-ED98-4610-9635-A5B3F9CD9262}" name="Wood Type"/>
    <tableColumn id="4" xr3:uid="{A39AF3F4-CFC5-4AA4-AC4A-D13F57C58F96}" name="Product Form"/>
    <tableColumn id="5" xr3:uid="{8E45A255-0AE5-4D04-9756-983604C403BB}" name="Width (cm)" dataDxfId="13"/>
    <tableColumn id="6" xr3:uid="{D5790B18-330C-44F0-982E-20BC39E3EF54}" name="Thickness (cm)" dataDxfId="12"/>
    <tableColumn id="7" xr3:uid="{FFA193B7-EDE7-465E-9EB5-245654509080}" name="Length (cm)"/>
    <tableColumn id="8" xr3:uid="{3F830AC1-9C73-43A6-AECE-B7D5BEDEF01E}" name="Movement Type"/>
    <tableColumn id="9" xr3:uid="{8DBF438F-E6BB-42F4-88D6-D94D19451720}" name="Quantity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081CE2-B610-4B18-BFB9-96E0689C54B2}" name="Table6" displayName="Table6" ref="A1:E13" totalsRowShown="0">
  <autoFilter ref="A1:E13" xr:uid="{1C081CE2-B610-4B18-BFB9-96E0689C54B2}"/>
  <tableColumns count="5">
    <tableColumn id="1" xr3:uid="{0008CCA2-B45F-43FD-B441-982543C570F0}" name="Date" dataDxfId="37"/>
    <tableColumn id="2" xr3:uid="{6F1D2BAF-3EC9-4529-A325-054A092C9CA6}" name="Supplier ID"/>
    <tableColumn id="3" xr3:uid="{3E22BD22-073B-41BB-A05B-2BA9509F8987}" name="Payment Amount"/>
    <tableColumn id="4" xr3:uid="{FA6D403C-E85E-45EC-BF77-C0AD0C4110EC}" name="Payment Method"/>
    <tableColumn id="5" xr3:uid="{8BC28434-3A09-43CD-A6FD-FF04CCCC273E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B108DB-2785-4768-989F-37A2E963434E}" name="Table8" displayName="Table8" ref="A1:F3" totalsRowShown="0">
  <tableColumns count="6">
    <tableColumn id="1" xr3:uid="{BD25F36E-A538-4883-879C-E59E52AE8832}" name="Supplier ID" dataDxfId="10"/>
    <tableColumn id="2" xr3:uid="{10BD377F-E682-4820-88BD-662525407174}" name="Supplier Name"/>
    <tableColumn id="3" xr3:uid="{FC0DAD1C-FB90-4EDF-B72B-F880D9144ED5}" name="Opening Balance"/>
    <tableColumn id="4" xr3:uid="{D3416DE6-D21F-48FF-9B18-ED3CB788E4C8}" name="Total Purchases" dataDxfId="9">
      <calculatedColumnFormula>SUMIFS(Table511[Total Amount],Table511[Supplier ID],Table8[[#This Row],[Supplier ID]])</calculatedColumnFormula>
    </tableColumn>
    <tableColumn id="5" xr3:uid="{14EAFE92-49E4-4AE5-A936-7AD860BA87FD}" name="Total Payments">
      <calculatedColumnFormula>SUMIFS(Table6[Payment Amount],Table6[Supplier ID],Table8[[#This Row],[Supplier ID]])</calculatedColumnFormula>
    </tableColumn>
    <tableColumn id="6" xr3:uid="{037F857B-F0EB-48C5-A9BA-304224E1377A}" name="Outstanding Balance" dataDxfId="8">
      <calculatedColumnFormula>C2+D2-E2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38E6BF-4213-4C38-A18E-522E3FDE0A4E}" name="Table511" displayName="Table511" ref="A1:K8" totalsRowShown="0">
  <tableColumns count="11">
    <tableColumn id="1" xr3:uid="{3BEF5CFA-2A2B-414A-B0D4-BEC32CA83F64}" name="Supplier Invoice No."/>
    <tableColumn id="2" xr3:uid="{6DF9B34F-95B5-4ACD-9FDB-2B9138C9768B}" name="Date" dataDxfId="7"/>
    <tableColumn id="3" xr3:uid="{128F2B04-CDF5-4654-8E1C-E284BB77D258}" name="Supplier Name"/>
    <tableColumn id="4" xr3:uid="{402A9F24-A13C-4DB0-9C36-685853C04F84}" name="Supplier ID"/>
    <tableColumn id="5" xr3:uid="{34B011B5-8A6A-48E2-BBE9-9AB37D9058B8}" name="Wood Type"/>
    <tableColumn id="6" xr3:uid="{9698E18E-BF14-454B-9A1F-0D676B8F7EBB}" name="Product Form"/>
    <tableColumn id="7" xr3:uid="{7E033057-4026-4339-AD99-495C7D0CE0BE}" name="Width (cm)"/>
    <tableColumn id="8" xr3:uid="{560362E0-5500-453B-8C35-B50ED87719C8}" name="Thickness (cm)"/>
    <tableColumn id="11" xr3:uid="{31CCC9C3-E52C-42BA-B699-4B1B1FBE87F2}" name="Volume (m³)"/>
    <tableColumn id="12" xr3:uid="{C00B7DD8-DD41-433D-A8C8-6647D04A3936}" name="Price per Cubic Meter"/>
    <tableColumn id="14" xr3:uid="{57C2BEA5-8B6D-495F-B2DC-D0A5B72C9683}" name="Total Amount" dataDxfId="6">
      <calculatedColumnFormula>Table511[[#This Row],[Volume (m³)]]*Table511[[#This Row],[Price per Cubic Meter]]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EA80ED-F9AE-45F1-BDB4-A4AC8B558F71}" name="Table5" displayName="Table5" ref="A1:M30" totalsRowShown="0">
  <tableColumns count="13">
    <tableColumn id="1" xr3:uid="{57A56EC2-3EA4-490B-A4D9-F7C534DAB690}" name="Supplier Invoice No."/>
    <tableColumn id="2" xr3:uid="{C47901CE-CC76-4298-BCE6-67338D3D0E53}" name="Date" dataDxfId="5"/>
    <tableColumn id="3" xr3:uid="{FA85C5F4-9BF4-429E-B1B3-2C72EFF747DE}" name="Supplier Name"/>
    <tableColumn id="4" xr3:uid="{6D52F31D-5E80-4339-87D1-160F0EA1C2BF}" name="Supplier ID"/>
    <tableColumn id="5" xr3:uid="{36653DD5-73E9-4881-99C7-EFB581650036}" name="Wood Type"/>
    <tableColumn id="6" xr3:uid="{D1961B7B-662E-495A-BFD4-921288903FA5}" name="Product Form"/>
    <tableColumn id="7" xr3:uid="{47179160-C992-46A1-A5A3-1C0024BAEECE}" name="Width (cm)"/>
    <tableColumn id="8" xr3:uid="{3C413B5B-C228-40AE-B703-6B76E1AC0E49}" name="Thickness (cm)"/>
    <tableColumn id="9" xr3:uid="{32715AEB-FD6F-4A0B-96DC-27C23603402B}" name="Length (cm)"/>
    <tableColumn id="10" xr3:uid="{10402CF1-7A6D-4115-A16D-9647A39A5DB3}" name="Quantity"/>
    <tableColumn id="11" xr3:uid="{AF66A51D-E161-469A-8289-FC709B988F71}" name="Volume (m³)">
      <calculatedColumnFormula>(G2/100)*(H2/100)*(I2/100)*J2</calculatedColumnFormula>
    </tableColumn>
    <tableColumn id="12" xr3:uid="{6D5E1820-84E0-4064-979B-511F93403540}" name="Price per Cubic Meter"/>
    <tableColumn id="13" xr3:uid="{F4B7372E-F86B-4F1E-BCA2-B541C8FF1B5B}" name="Average Purchase Price" dataDxfId="4">
      <calculatedColumnFormula>AVERAGE(Table5[Price per Cubic Meter])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878C64-643B-466F-BF1D-A9C7DD47D7E5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0F1B-7106-4BE6-A407-08C933B3868D}">
  <dimension ref="A2:Q33"/>
  <sheetViews>
    <sheetView showGridLines="0" topLeftCell="B8" workbookViewId="0">
      <selection activeCell="T10" sqref="T10"/>
    </sheetView>
  </sheetViews>
  <sheetFormatPr defaultRowHeight="14.4" x14ac:dyDescent="0.3"/>
  <cols>
    <col min="1" max="1" width="15.44140625" customWidth="1"/>
    <col min="2" max="2" width="13.33203125" customWidth="1"/>
  </cols>
  <sheetData>
    <row r="2" spans="2:17" ht="14.4" customHeight="1" x14ac:dyDescent="0.3"/>
    <row r="3" spans="2:17" ht="14.4" customHeight="1" x14ac:dyDescent="0.3">
      <c r="G3" s="17"/>
      <c r="H3" s="26" t="s">
        <v>325</v>
      </c>
      <c r="I3" s="26"/>
      <c r="J3" s="26"/>
      <c r="K3" s="26"/>
      <c r="L3" s="26"/>
      <c r="M3" s="26"/>
      <c r="N3" s="26"/>
      <c r="O3" s="26"/>
      <c r="P3" s="26"/>
      <c r="Q3" s="17"/>
    </row>
    <row r="4" spans="2:17" ht="14.4" customHeight="1" x14ac:dyDescent="0.3">
      <c r="G4" s="17"/>
      <c r="H4" s="26"/>
      <c r="I4" s="26"/>
      <c r="J4" s="26"/>
      <c r="K4" s="26"/>
      <c r="L4" s="26"/>
      <c r="M4" s="26"/>
      <c r="N4" s="26"/>
      <c r="O4" s="26"/>
      <c r="P4" s="26"/>
      <c r="Q4" s="17"/>
    </row>
    <row r="5" spans="2:17" ht="14.4" customHeight="1" x14ac:dyDescent="0.3">
      <c r="G5" s="17"/>
      <c r="H5" s="26"/>
      <c r="I5" s="26"/>
      <c r="J5" s="26"/>
      <c r="K5" s="26"/>
      <c r="L5" s="26"/>
      <c r="M5" s="26"/>
      <c r="N5" s="26"/>
      <c r="O5" s="26"/>
      <c r="P5" s="26"/>
      <c r="Q5" s="17"/>
    </row>
    <row r="6" spans="2:17" ht="14.4" customHeight="1" x14ac:dyDescent="0.35">
      <c r="G6" s="17"/>
      <c r="H6" s="18"/>
      <c r="I6" s="18"/>
      <c r="J6" s="18"/>
      <c r="K6" s="18"/>
      <c r="L6" s="17"/>
      <c r="M6" s="17"/>
      <c r="N6" s="17"/>
      <c r="O6" s="17"/>
      <c r="P6" s="17"/>
      <c r="Q6" s="17"/>
    </row>
    <row r="7" spans="2:17" ht="14.4" customHeight="1" x14ac:dyDescent="0.35">
      <c r="B7" s="15"/>
      <c r="G7" s="17"/>
      <c r="H7" s="18"/>
      <c r="I7" s="18"/>
      <c r="J7" s="18"/>
      <c r="K7" s="18"/>
      <c r="L7" s="17"/>
      <c r="M7" s="17"/>
      <c r="N7" s="17"/>
      <c r="O7" s="17"/>
      <c r="P7" s="17"/>
      <c r="Q7" s="17"/>
    </row>
    <row r="8" spans="2:17" ht="14.4" customHeight="1" thickBot="1" x14ac:dyDescent="0.4">
      <c r="B8" s="15"/>
      <c r="G8" s="17"/>
      <c r="H8" s="19"/>
      <c r="I8" s="19"/>
      <c r="J8" s="19"/>
      <c r="K8" s="19"/>
      <c r="L8" s="17"/>
      <c r="M8" s="17"/>
      <c r="N8" s="17"/>
      <c r="O8" s="17"/>
      <c r="P8" s="17"/>
      <c r="Q8" s="17"/>
    </row>
    <row r="9" spans="2:17" ht="14.4" customHeight="1" x14ac:dyDescent="0.3">
      <c r="B9" s="16"/>
      <c r="G9" s="17"/>
      <c r="H9" s="20" t="s">
        <v>326</v>
      </c>
      <c r="I9" s="21"/>
      <c r="J9" s="21"/>
      <c r="K9" s="22"/>
      <c r="L9" s="17"/>
      <c r="M9" s="20" t="s">
        <v>327</v>
      </c>
      <c r="N9" s="21"/>
      <c r="O9" s="21"/>
      <c r="P9" s="22"/>
      <c r="Q9" s="17"/>
    </row>
    <row r="10" spans="2:17" ht="14.4" customHeight="1" x14ac:dyDescent="0.3">
      <c r="B10" s="16"/>
      <c r="G10" s="17"/>
      <c r="H10" s="23"/>
      <c r="I10" s="24"/>
      <c r="J10" s="24"/>
      <c r="K10" s="25"/>
      <c r="L10" s="17"/>
      <c r="M10" s="23"/>
      <c r="N10" s="24"/>
      <c r="O10" s="24"/>
      <c r="P10" s="25"/>
      <c r="Q10" s="17"/>
    </row>
    <row r="11" spans="2:17" ht="14.4" customHeight="1" x14ac:dyDescent="0.3">
      <c r="B11" s="16"/>
      <c r="G11" s="17"/>
      <c r="H11" s="28">
        <f>SUM(Table2[Volume (m³)])</f>
        <v>85.047674999999998</v>
      </c>
      <c r="I11" s="29"/>
      <c r="J11" s="29"/>
      <c r="K11" s="30"/>
      <c r="L11" s="17"/>
      <c r="M11" s="34">
        <f>SUM(Table2[Volume (m³)]) * 19000</f>
        <v>1615905.825</v>
      </c>
      <c r="N11" s="35"/>
      <c r="O11" s="35"/>
      <c r="P11" s="36"/>
      <c r="Q11" s="17"/>
    </row>
    <row r="12" spans="2:17" ht="14.4" customHeight="1" x14ac:dyDescent="0.3">
      <c r="G12" s="17"/>
      <c r="H12" s="28"/>
      <c r="I12" s="29"/>
      <c r="J12" s="29"/>
      <c r="K12" s="30"/>
      <c r="L12" s="17"/>
      <c r="M12" s="34"/>
      <c r="N12" s="35"/>
      <c r="O12" s="35"/>
      <c r="P12" s="36"/>
      <c r="Q12" s="17"/>
    </row>
    <row r="13" spans="2:17" ht="14.4" customHeight="1" thickBot="1" x14ac:dyDescent="0.35">
      <c r="G13" s="17"/>
      <c r="H13" s="31"/>
      <c r="I13" s="32"/>
      <c r="J13" s="32"/>
      <c r="K13" s="33"/>
      <c r="L13" s="17"/>
      <c r="M13" s="37"/>
      <c r="N13" s="38"/>
      <c r="O13" s="38"/>
      <c r="P13" s="39"/>
      <c r="Q13" s="17"/>
    </row>
    <row r="14" spans="2:17" ht="14.4" customHeight="1" x14ac:dyDescent="0.3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2:17" ht="14.4" customHeight="1" thickBot="1" x14ac:dyDescent="0.35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2:17" ht="14.4" customHeight="1" x14ac:dyDescent="0.3">
      <c r="G16" s="17"/>
      <c r="H16" s="20" t="s">
        <v>328</v>
      </c>
      <c r="I16" s="21"/>
      <c r="J16" s="21"/>
      <c r="K16" s="22"/>
      <c r="L16" s="17"/>
      <c r="M16" s="20" t="s">
        <v>329</v>
      </c>
      <c r="N16" s="21"/>
      <c r="O16" s="21"/>
      <c r="P16" s="22"/>
      <c r="Q16" s="17"/>
    </row>
    <row r="17" spans="7:17" ht="14.4" customHeight="1" x14ac:dyDescent="0.3">
      <c r="G17" s="17"/>
      <c r="H17" s="23"/>
      <c r="I17" s="24"/>
      <c r="J17" s="24"/>
      <c r="K17" s="25"/>
      <c r="L17" s="17"/>
      <c r="M17" s="23"/>
      <c r="N17" s="24"/>
      <c r="O17" s="24"/>
      <c r="P17" s="25"/>
      <c r="Q17" s="17"/>
    </row>
    <row r="18" spans="7:17" ht="14.4" customHeight="1" x14ac:dyDescent="0.3">
      <c r="G18" s="17"/>
      <c r="H18" s="34">
        <f>SUM(Table7[Outstanding Balance])</f>
        <v>318225</v>
      </c>
      <c r="I18" s="35"/>
      <c r="J18" s="35"/>
      <c r="K18" s="36"/>
      <c r="L18" s="17"/>
      <c r="M18" s="34">
        <f>SUM(Table8[Outstanding Balance])</f>
        <v>907267.6106250002</v>
      </c>
      <c r="N18" s="35"/>
      <c r="O18" s="35"/>
      <c r="P18" s="36"/>
      <c r="Q18" s="17"/>
    </row>
    <row r="19" spans="7:17" ht="14.4" customHeight="1" x14ac:dyDescent="0.3">
      <c r="G19" s="17"/>
      <c r="H19" s="34"/>
      <c r="I19" s="35"/>
      <c r="J19" s="35"/>
      <c r="K19" s="36"/>
      <c r="L19" s="17"/>
      <c r="M19" s="34"/>
      <c r="N19" s="35"/>
      <c r="O19" s="35"/>
      <c r="P19" s="36"/>
      <c r="Q19" s="17"/>
    </row>
    <row r="20" spans="7:17" ht="14.4" customHeight="1" thickBot="1" x14ac:dyDescent="0.35">
      <c r="G20" s="17"/>
      <c r="H20" s="37"/>
      <c r="I20" s="38"/>
      <c r="J20" s="38"/>
      <c r="K20" s="39"/>
      <c r="L20" s="17"/>
      <c r="M20" s="37"/>
      <c r="N20" s="38"/>
      <c r="O20" s="38"/>
      <c r="P20" s="39"/>
      <c r="Q20" s="17"/>
    </row>
    <row r="21" spans="7:17" ht="14.4" customHeight="1" x14ac:dyDescent="0.3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7:17" x14ac:dyDescent="0.3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7:17" x14ac:dyDescent="0.3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9" spans="7:17" ht="14.4" customHeight="1" x14ac:dyDescent="0.3"/>
    <row r="30" spans="7:17" ht="14.4" customHeight="1" x14ac:dyDescent="0.3"/>
    <row r="31" spans="7:17" ht="14.4" customHeight="1" x14ac:dyDescent="0.3"/>
    <row r="32" spans="7:17" ht="14.4" customHeight="1" x14ac:dyDescent="0.3"/>
    <row r="33" ht="14.4" customHeight="1" x14ac:dyDescent="0.3"/>
  </sheetData>
  <mergeCells count="9">
    <mergeCell ref="H3:P5"/>
    <mergeCell ref="M16:P17"/>
    <mergeCell ref="M18:P20"/>
    <mergeCell ref="H16:K17"/>
    <mergeCell ref="H18:K20"/>
    <mergeCell ref="M9:P10"/>
    <mergeCell ref="H9:K10"/>
    <mergeCell ref="M11:P13"/>
    <mergeCell ref="H11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0232-F166-D145-8BD5-DB1CF5B94602}">
  <dimension ref="A1:R206"/>
  <sheetViews>
    <sheetView zoomScaleNormal="100" zoomScaleSheetLayoutView="100" workbookViewId="0">
      <selection activeCell="F23" sqref="F23"/>
    </sheetView>
  </sheetViews>
  <sheetFormatPr defaultRowHeight="14.4" x14ac:dyDescent="0.3"/>
  <cols>
    <col min="1" max="1" width="10.21875" bestFit="1" customWidth="1"/>
    <col min="2" max="2" width="11" bestFit="1" customWidth="1"/>
    <col min="3" max="3" width="17.88671875" bestFit="1" customWidth="1"/>
    <col min="4" max="4" width="11.21875" bestFit="1" customWidth="1"/>
    <col min="5" max="5" width="12.21875" bestFit="1" customWidth="1"/>
    <col min="6" max="6" width="8.33203125" bestFit="1" customWidth="1"/>
    <col min="7" max="7" width="10.33203125" bestFit="1" customWidth="1"/>
    <col min="8" max="8" width="13.6640625" bestFit="1" customWidth="1"/>
    <col min="9" max="10" width="10.77734375" bestFit="1" customWidth="1"/>
    <col min="11" max="11" width="8.109375" bestFit="1" customWidth="1"/>
    <col min="12" max="12" width="10" bestFit="1" customWidth="1"/>
    <col min="13" max="13" width="12" bestFit="1" customWidth="1"/>
    <col min="14" max="14" width="13.6640625" bestFit="1" customWidth="1"/>
    <col min="15" max="15" width="11.5546875" bestFit="1" customWidth="1"/>
    <col min="16" max="16" width="15" bestFit="1" customWidth="1"/>
    <col min="17" max="17" width="11.109375" bestFit="1" customWidth="1"/>
  </cols>
  <sheetData>
    <row r="1" spans="1:18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186</v>
      </c>
      <c r="J1" t="s">
        <v>183</v>
      </c>
      <c r="K1" t="s">
        <v>184</v>
      </c>
      <c r="L1" t="s">
        <v>185</v>
      </c>
      <c r="M1" t="s">
        <v>187</v>
      </c>
      <c r="N1" t="s">
        <v>188</v>
      </c>
      <c r="O1" t="s">
        <v>189</v>
      </c>
      <c r="P1" t="s">
        <v>190</v>
      </c>
      <c r="Q1" t="s">
        <v>173</v>
      </c>
      <c r="R1" t="s">
        <v>174</v>
      </c>
    </row>
    <row r="2" spans="1:18" x14ac:dyDescent="0.3">
      <c r="A2" t="s">
        <v>0</v>
      </c>
      <c r="B2" s="3">
        <v>46174</v>
      </c>
      <c r="C2" t="s">
        <v>228</v>
      </c>
      <c r="D2" t="str">
        <f>IF(Table1[[#This Row],[Customer Name]]="", "",_xlfn.XLOOKUP(C2,Table7[Customer Name],Table7[Customer ID]," "))</f>
        <v>C-015</v>
      </c>
      <c r="E2" t="s">
        <v>279</v>
      </c>
      <c r="F2" t="s">
        <v>282</v>
      </c>
      <c r="G2">
        <v>10</v>
      </c>
      <c r="H2">
        <v>2.5</v>
      </c>
      <c r="I2">
        <v>21500</v>
      </c>
      <c r="J2">
        <v>600</v>
      </c>
      <c r="K2">
        <v>60</v>
      </c>
      <c r="L2">
        <f>IF(OR(Table1[[#This Row],[Quantity]]="",Table1[[#This Row],[Length (cm)]]=""),"",(Table1[[#This Row],[Width (cm)]]/100)*(Table1[[#This Row],[Thickness (cm)]]/100)*(Table1[[#This Row],[Length (cm)]]/100)*Table1[[#This Row],[Quantity]])</f>
        <v>0.90000000000000013</v>
      </c>
      <c r="M2">
        <f>IF(Table1[[#This Row],[Volume (m³)]]="","",Table1[[#This Row],[Volume (m³)]]*Table1[[#This Row],[Price / m³]])</f>
        <v>19350.000000000004</v>
      </c>
      <c r="N2">
        <v>19350</v>
      </c>
      <c r="O2">
        <v>19350</v>
      </c>
      <c r="P2" t="s">
        <v>288</v>
      </c>
      <c r="Q2">
        <v>19125</v>
      </c>
      <c r="R2" s="10">
        <f>Table1[[#This Row],[سعر المتر علينا]]*Table1[[#This Row],[Volume (m³)]]</f>
        <v>17212.500000000004</v>
      </c>
    </row>
    <row r="3" spans="1:18" x14ac:dyDescent="0.3">
      <c r="A3" t="s">
        <v>1</v>
      </c>
      <c r="B3" s="3">
        <v>46174</v>
      </c>
      <c r="C3" t="s">
        <v>233</v>
      </c>
      <c r="D3" t="str">
        <f>IF(Table1[[#This Row],[Customer Name]]="", "",_xlfn.XLOOKUP(C3,Table7[Customer Name],Table7[Customer ID]," "))</f>
        <v>C-019</v>
      </c>
      <c r="E3" t="s">
        <v>278</v>
      </c>
      <c r="F3" t="s">
        <v>282</v>
      </c>
      <c r="G3">
        <v>10</v>
      </c>
      <c r="H3">
        <v>2.5</v>
      </c>
      <c r="I3">
        <v>21000</v>
      </c>
      <c r="J3">
        <v>330</v>
      </c>
      <c r="K3">
        <v>2</v>
      </c>
      <c r="L3">
        <f>IF(OR(Table1[[#This Row],[Quantity]]="",Table1[[#This Row],[Length (cm)]]=""),"",(Table1[[#This Row],[Width (cm)]]/100)*(Table1[[#This Row],[Thickness (cm)]]/100)*(Table1[[#This Row],[Length (cm)]]/100)*Table1[[#This Row],[Quantity]])</f>
        <v>1.6500000000000001E-2</v>
      </c>
      <c r="M3">
        <f>IF(Table1[[#This Row],[Volume (m³)]]="","",Table1[[#This Row],[Volume (m³)]]*Table1[[#This Row],[Price / m³]])</f>
        <v>346.5</v>
      </c>
      <c r="N3">
        <v>350</v>
      </c>
      <c r="O3">
        <v>350</v>
      </c>
      <c r="P3" t="s">
        <v>289</v>
      </c>
      <c r="Q3">
        <v>19125</v>
      </c>
      <c r="R3" s="10">
        <f>Table1[[#This Row],[سعر المتر علينا]]*Table1[[#This Row],[Volume (m³)]]</f>
        <v>315.5625</v>
      </c>
    </row>
    <row r="4" spans="1:18" x14ac:dyDescent="0.3">
      <c r="A4" t="s">
        <v>1</v>
      </c>
      <c r="B4" s="3">
        <v>46174</v>
      </c>
      <c r="C4" t="s">
        <v>233</v>
      </c>
      <c r="D4" t="str">
        <f>IF(Table1[[#This Row],[Customer Name]]="", "",_xlfn.XLOOKUP(C4,Table7[Customer Name],Table7[Customer ID]," "))</f>
        <v>C-019</v>
      </c>
      <c r="E4" t="s">
        <v>278</v>
      </c>
      <c r="F4" t="s">
        <v>282</v>
      </c>
      <c r="G4">
        <v>10</v>
      </c>
      <c r="H4">
        <v>2.5</v>
      </c>
      <c r="I4">
        <v>21000</v>
      </c>
      <c r="J4">
        <v>390</v>
      </c>
      <c r="K4">
        <v>2</v>
      </c>
      <c r="L4">
        <f>IF(OR(Table1[[#This Row],[Quantity]]="",Table1[[#This Row],[Length (cm)]]=""),"",(Table1[[#This Row],[Width (cm)]]/100)*(Table1[[#This Row],[Thickness (cm)]]/100)*(Table1[[#This Row],[Length (cm)]]/100)*Table1[[#This Row],[Quantity]])</f>
        <v>1.9500000000000003E-2</v>
      </c>
      <c r="M4">
        <f>IF(Table1[[#This Row],[Volume (m³)]]="","",Table1[[#This Row],[Volume (m³)]]*Table1[[#This Row],[Price / m³]])</f>
        <v>409.50000000000006</v>
      </c>
      <c r="N4">
        <v>410</v>
      </c>
      <c r="O4">
        <v>410</v>
      </c>
      <c r="P4" t="s">
        <v>289</v>
      </c>
      <c r="Q4">
        <v>19125</v>
      </c>
      <c r="R4" s="10">
        <f>Table1[[#This Row],[سعر المتر علينا]]*Table1[[#This Row],[Volume (m³)]]</f>
        <v>372.93750000000006</v>
      </c>
    </row>
    <row r="5" spans="1:18" x14ac:dyDescent="0.3">
      <c r="A5" t="s">
        <v>1</v>
      </c>
      <c r="B5" s="3">
        <v>46174</v>
      </c>
      <c r="C5" t="s">
        <v>233</v>
      </c>
      <c r="D5" t="str">
        <f>IF(Table1[[#This Row],[Customer Name]]="", "",_xlfn.XLOOKUP(C5,Table7[Customer Name],Table7[Customer ID]," "))</f>
        <v>C-019</v>
      </c>
      <c r="E5" t="s">
        <v>278</v>
      </c>
      <c r="F5" t="s">
        <v>282</v>
      </c>
      <c r="G5">
        <v>10</v>
      </c>
      <c r="H5">
        <v>2.5</v>
      </c>
      <c r="I5">
        <v>21000</v>
      </c>
      <c r="J5">
        <v>510</v>
      </c>
      <c r="K5">
        <v>2</v>
      </c>
      <c r="L5">
        <f>IF(OR(Table1[[#This Row],[Quantity]]="",Table1[[#This Row],[Length (cm)]]=""),"",(Table1[[#This Row],[Width (cm)]]/100)*(Table1[[#This Row],[Thickness (cm)]]/100)*(Table1[[#This Row],[Length (cm)]]/100)*Table1[[#This Row],[Quantity]])</f>
        <v>2.5500000000000002E-2</v>
      </c>
      <c r="M5">
        <f>IF(Table1[[#This Row],[Volume (m³)]]="","",Table1[[#This Row],[Volume (m³)]]*Table1[[#This Row],[Price / m³]])</f>
        <v>535.5</v>
      </c>
      <c r="N5">
        <v>540</v>
      </c>
      <c r="O5">
        <v>540</v>
      </c>
      <c r="P5" t="s">
        <v>289</v>
      </c>
      <c r="Q5">
        <v>19125</v>
      </c>
      <c r="R5" s="10">
        <f>Table1[[#This Row],[سعر المتر علينا]]*Table1[[#This Row],[Volume (m³)]]</f>
        <v>487.68750000000006</v>
      </c>
    </row>
    <row r="6" spans="1:18" x14ac:dyDescent="0.3">
      <c r="A6" t="s">
        <v>2</v>
      </c>
      <c r="B6" s="3">
        <v>46175</v>
      </c>
      <c r="C6" t="s">
        <v>270</v>
      </c>
      <c r="D6" t="str">
        <f>IF(Table1[[#This Row],[Customer Name]]="", "",_xlfn.XLOOKUP(C6,Table7[Customer Name],Table7[Customer ID]," "))</f>
        <v>C-011</v>
      </c>
      <c r="E6" t="s">
        <v>278</v>
      </c>
      <c r="F6" t="s">
        <v>283</v>
      </c>
      <c r="G6">
        <v>10</v>
      </c>
      <c r="H6">
        <v>2.5</v>
      </c>
      <c r="I6">
        <v>21000</v>
      </c>
      <c r="J6">
        <v>120</v>
      </c>
      <c r="K6">
        <v>9</v>
      </c>
      <c r="L6">
        <f>IF(OR(Table1[[#This Row],[Quantity]]="",Table1[[#This Row],[Length (cm)]]=""),"",(Table1[[#This Row],[Width (cm)]]/100)*(Table1[[#This Row],[Thickness (cm)]]/100)*(Table1[[#This Row],[Length (cm)]]/100)*Table1[[#This Row],[Quantity]])</f>
        <v>2.7000000000000003E-2</v>
      </c>
      <c r="M6">
        <f>IF(Table1[[#This Row],[Volume (m³)]]="","",Table1[[#This Row],[Volume (m³)]]*Table1[[#This Row],[Price / m³]])</f>
        <v>567.00000000000011</v>
      </c>
      <c r="N6">
        <v>570</v>
      </c>
      <c r="O6">
        <v>570</v>
      </c>
      <c r="P6" t="s">
        <v>288</v>
      </c>
      <c r="Q6">
        <v>19125</v>
      </c>
      <c r="R6" s="10">
        <f>Table1[[#This Row],[سعر المتر علينا]]*Table1[[#This Row],[Volume (m³)]]</f>
        <v>516.37500000000011</v>
      </c>
    </row>
    <row r="7" spans="1:18" x14ac:dyDescent="0.3">
      <c r="A7" t="s">
        <v>4</v>
      </c>
      <c r="B7" s="3">
        <v>46175</v>
      </c>
      <c r="C7" t="s">
        <v>234</v>
      </c>
      <c r="D7" t="str">
        <f>IF(Table1[[#This Row],[Customer Name]]="", "",_xlfn.XLOOKUP(C7,Table7[Customer Name],Table7[Customer ID]," "))</f>
        <v>C-020</v>
      </c>
      <c r="E7" t="s">
        <v>278</v>
      </c>
      <c r="F7" t="s">
        <v>283</v>
      </c>
      <c r="G7">
        <v>10</v>
      </c>
      <c r="H7">
        <v>2.5</v>
      </c>
      <c r="I7">
        <v>21000</v>
      </c>
      <c r="J7">
        <v>120</v>
      </c>
      <c r="K7">
        <v>18</v>
      </c>
      <c r="L7">
        <f>IF(OR(Table1[[#This Row],[Quantity]]="",Table1[[#This Row],[Length (cm)]]=""),"",(Table1[[#This Row],[Width (cm)]]/100)*(Table1[[#This Row],[Thickness (cm)]]/100)*(Table1[[#This Row],[Length (cm)]]/100)*Table1[[#This Row],[Quantity]])</f>
        <v>5.4000000000000006E-2</v>
      </c>
      <c r="M7">
        <f>IF(Table1[[#This Row],[Volume (m³)]]="","",Table1[[#This Row],[Volume (m³)]]*Table1[[#This Row],[Price / m³]])</f>
        <v>1134.0000000000002</v>
      </c>
      <c r="N7">
        <v>1135</v>
      </c>
      <c r="O7">
        <v>1135</v>
      </c>
      <c r="P7" t="s">
        <v>288</v>
      </c>
      <c r="Q7">
        <v>19125</v>
      </c>
      <c r="R7" s="10">
        <f>Table1[[#This Row],[سعر المتر علينا]]*Table1[[#This Row],[Volume (m³)]]</f>
        <v>1032.7500000000002</v>
      </c>
    </row>
    <row r="8" spans="1:18" x14ac:dyDescent="0.3">
      <c r="A8" t="s">
        <v>4</v>
      </c>
      <c r="B8" s="3">
        <v>46175</v>
      </c>
      <c r="C8" t="s">
        <v>234</v>
      </c>
      <c r="D8" t="str">
        <f>IF(Table1[[#This Row],[Customer Name]]="", "",_xlfn.XLOOKUP(C8,Table7[Customer Name],Table7[Customer ID]," "))</f>
        <v>C-020</v>
      </c>
      <c r="E8" t="s">
        <v>278</v>
      </c>
      <c r="F8" t="s">
        <v>283</v>
      </c>
      <c r="G8">
        <v>10</v>
      </c>
      <c r="H8">
        <v>2.5</v>
      </c>
      <c r="I8">
        <v>21000</v>
      </c>
      <c r="J8">
        <v>150</v>
      </c>
      <c r="K8">
        <v>20</v>
      </c>
      <c r="L8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7.5000000000000011E-2</v>
      </c>
      <c r="M8">
        <f>IF(Table1[[#This Row],[Volume (m³)]]="","",Table1[[#This Row],[Volume (m³)]]*Table1[[#This Row],[Price / m³]])</f>
        <v>1575.0000000000002</v>
      </c>
      <c r="N8">
        <v>1575</v>
      </c>
      <c r="O8">
        <v>1575</v>
      </c>
      <c r="P8" t="s">
        <v>288</v>
      </c>
      <c r="Q8">
        <v>19125</v>
      </c>
      <c r="R8" s="10">
        <f>Table1[[#This Row],[سعر المتر علينا]]*Table1[[#This Row],[Volume (m³)]]</f>
        <v>1434.3750000000002</v>
      </c>
    </row>
    <row r="9" spans="1:18" x14ac:dyDescent="0.3">
      <c r="A9" t="s">
        <v>4</v>
      </c>
      <c r="B9" s="3">
        <v>46175</v>
      </c>
      <c r="C9" t="s">
        <v>234</v>
      </c>
      <c r="D9" t="str">
        <f>IF(Table1[[#This Row],[Customer Name]]="", "",_xlfn.XLOOKUP(C9,Table7[Customer Name],Table7[Customer ID]," "))</f>
        <v>C-020</v>
      </c>
      <c r="E9" t="s">
        <v>278</v>
      </c>
      <c r="F9" t="s">
        <v>283</v>
      </c>
      <c r="G9">
        <v>10</v>
      </c>
      <c r="H9">
        <v>2.5</v>
      </c>
      <c r="I9">
        <v>21000</v>
      </c>
      <c r="J9">
        <v>180</v>
      </c>
      <c r="K9">
        <v>30</v>
      </c>
      <c r="L9">
        <f>IF(OR(Table1[[#This Row],[Quantity]]="",Table1[[#This Row],[Length (cm)]]=""),"",(Table1[[#This Row],[Width (cm)]]/100)*(Table1[[#This Row],[Thickness (cm)]]/100)*(Table1[[#This Row],[Length (cm)]]/100)*Table1[[#This Row],[Quantity]])</f>
        <v>0.13500000000000004</v>
      </c>
      <c r="M9">
        <f>IF(Table1[[#This Row],[Volume (m³)]]="","",Table1[[#This Row],[Volume (m³)]]*Table1[[#This Row],[Price / m³]])</f>
        <v>2835.0000000000009</v>
      </c>
      <c r="N9">
        <v>2760</v>
      </c>
      <c r="O9">
        <v>2760</v>
      </c>
      <c r="P9" t="s">
        <v>288</v>
      </c>
      <c r="Q9">
        <v>19125</v>
      </c>
      <c r="R9" s="10">
        <f>Table1[[#This Row],[سعر المتر علينا]]*Table1[[#This Row],[Volume (m³)]]</f>
        <v>2581.8750000000009</v>
      </c>
    </row>
    <row r="10" spans="1:18" x14ac:dyDescent="0.3">
      <c r="A10" t="s">
        <v>4</v>
      </c>
      <c r="B10" s="3">
        <v>46175</v>
      </c>
      <c r="C10" t="s">
        <v>234</v>
      </c>
      <c r="D10" t="str">
        <f>IF(Table1[[#This Row],[Customer Name]]="", "",_xlfn.XLOOKUP(C10,Table7[Customer Name],Table7[Customer ID]," "))</f>
        <v>C-020</v>
      </c>
      <c r="E10" t="s">
        <v>278</v>
      </c>
      <c r="F10" t="s">
        <v>282</v>
      </c>
      <c r="G10">
        <v>10</v>
      </c>
      <c r="H10">
        <v>2.5</v>
      </c>
      <c r="I10">
        <v>21000</v>
      </c>
      <c r="J10">
        <v>270</v>
      </c>
      <c r="K10">
        <v>37</v>
      </c>
      <c r="L10">
        <f>IF(OR(Table1[[#This Row],[Quantity]]="",Table1[[#This Row],[Length (cm)]]=""),"",(Table1[[#This Row],[Width (cm)]]/100)*(Table1[[#This Row],[Thickness (cm)]]/100)*(Table1[[#This Row],[Length (cm)]]/100)*Table1[[#This Row],[Quantity]])</f>
        <v>0.24975000000000006</v>
      </c>
      <c r="M10">
        <f>IF(Table1[[#This Row],[Volume (m³)]]="","",Table1[[#This Row],[Volume (m³)]]*Table1[[#This Row],[Price / m³]])</f>
        <v>5244.7500000000009</v>
      </c>
      <c r="N10">
        <v>5230</v>
      </c>
      <c r="O10">
        <v>5300</v>
      </c>
      <c r="P10" t="s">
        <v>288</v>
      </c>
      <c r="Q10">
        <v>19125</v>
      </c>
      <c r="R10" s="10">
        <f>Table1[[#This Row],[سعر المتر علينا]]*Table1[[#This Row],[Volume (m³)]]</f>
        <v>4776.4687500000009</v>
      </c>
    </row>
    <row r="11" spans="1:18" x14ac:dyDescent="0.3">
      <c r="A11" t="s">
        <v>4</v>
      </c>
      <c r="B11" s="3">
        <v>46175</v>
      </c>
      <c r="C11" t="s">
        <v>234</v>
      </c>
      <c r="D11" t="str">
        <f>IF(Table1[[#This Row],[Customer Name]]="", "",_xlfn.XLOOKUP(C11,Table7[Customer Name],Table7[Customer ID]," "))</f>
        <v>C-020</v>
      </c>
      <c r="E11" t="s">
        <v>278</v>
      </c>
      <c r="F11" t="s">
        <v>282</v>
      </c>
      <c r="G11">
        <v>10</v>
      </c>
      <c r="H11">
        <v>2.5</v>
      </c>
      <c r="I11">
        <v>21000</v>
      </c>
      <c r="J11">
        <v>300</v>
      </c>
      <c r="K11">
        <v>32</v>
      </c>
      <c r="L11">
        <f>IF(OR(Table1[[#This Row],[Quantity]]="",Table1[[#This Row],[Length (cm)]]=""),"",(Table1[[#This Row],[Width (cm)]]/100)*(Table1[[#This Row],[Thickness (cm)]]/100)*(Table1[[#This Row],[Length (cm)]]/100)*Table1[[#This Row],[Quantity]])</f>
        <v>0.24000000000000005</v>
      </c>
      <c r="M11">
        <f>IF(Table1[[#This Row],[Volume (m³)]]="","",Table1[[#This Row],[Volume (m³)]]*Table1[[#This Row],[Price / m³]])</f>
        <v>5040.0000000000009</v>
      </c>
      <c r="N11">
        <v>5100</v>
      </c>
      <c r="O11">
        <v>5030</v>
      </c>
      <c r="P11" t="s">
        <v>288</v>
      </c>
      <c r="Q11">
        <v>19125</v>
      </c>
      <c r="R11" s="10">
        <f>Table1[[#This Row],[سعر المتر علينا]]*Table1[[#This Row],[Volume (m³)]]</f>
        <v>4590.0000000000009</v>
      </c>
    </row>
    <row r="12" spans="1:18" x14ac:dyDescent="0.3">
      <c r="A12" t="s">
        <v>4</v>
      </c>
      <c r="B12" s="3">
        <v>46175</v>
      </c>
      <c r="C12" t="s">
        <v>234</v>
      </c>
      <c r="D12" t="str">
        <f>IF(Table1[[#This Row],[Customer Name]]="", "",_xlfn.XLOOKUP(C12,Table7[Customer Name],Table7[Customer ID]," "))</f>
        <v>C-020</v>
      </c>
      <c r="E12" t="s">
        <v>278</v>
      </c>
      <c r="F12" t="s">
        <v>282</v>
      </c>
      <c r="G12">
        <v>10</v>
      </c>
      <c r="H12">
        <v>2.5</v>
      </c>
      <c r="I12">
        <v>21000</v>
      </c>
      <c r="J12">
        <v>330</v>
      </c>
      <c r="K12">
        <v>30</v>
      </c>
      <c r="L12">
        <f>IF(OR(Table1[[#This Row],[Quantity]]="",Table1[[#This Row],[Length (cm)]]=""),"",(Table1[[#This Row],[Width (cm)]]/100)*(Table1[[#This Row],[Thickness (cm)]]/100)*(Table1[[#This Row],[Length (cm)]]/100)*Table1[[#This Row],[Quantity]])</f>
        <v>0.2475</v>
      </c>
      <c r="M12">
        <f>IF(Table1[[#This Row],[Volume (m³)]]="","",Table1[[#This Row],[Volume (m³)]]*Table1[[#This Row],[Price / m³]])</f>
        <v>5197.5</v>
      </c>
      <c r="N12">
        <v>5200</v>
      </c>
      <c r="O12">
        <v>5200</v>
      </c>
      <c r="P12" t="s">
        <v>288</v>
      </c>
      <c r="Q12">
        <v>19125</v>
      </c>
      <c r="R12" s="10">
        <f>Table1[[#This Row],[سعر المتر علينا]]*Table1[[#This Row],[Volume (m³)]]</f>
        <v>4733.4375</v>
      </c>
    </row>
    <row r="13" spans="1:18" x14ac:dyDescent="0.3">
      <c r="A13" t="s">
        <v>5</v>
      </c>
      <c r="B13" s="3">
        <v>46175</v>
      </c>
      <c r="C13" t="s">
        <v>235</v>
      </c>
      <c r="D13" t="str">
        <f>IF(Table1[[#This Row],[Customer Name]]="", "",_xlfn.XLOOKUP(C13,Table7[Customer Name],Table7[Customer ID]," "))</f>
        <v>C-021</v>
      </c>
      <c r="E13" t="s">
        <v>278</v>
      </c>
      <c r="F13" t="s">
        <v>282</v>
      </c>
      <c r="G13">
        <v>10</v>
      </c>
      <c r="H13">
        <v>2.5</v>
      </c>
      <c r="I13">
        <v>21000</v>
      </c>
      <c r="J13">
        <v>360</v>
      </c>
      <c r="K13">
        <v>2</v>
      </c>
      <c r="L13">
        <f>IF(OR(Table1[[#This Row],[Quantity]]="",Table1[[#This Row],[Length (cm)]]=""),"",(Table1[[#This Row],[Width (cm)]]/100)*(Table1[[#This Row],[Thickness (cm)]]/100)*(Table1[[#This Row],[Length (cm)]]/100)*Table1[[#This Row],[Quantity]])</f>
        <v>1.8000000000000006E-2</v>
      </c>
      <c r="M13">
        <f>IF(Table1[[#This Row],[Volume (m³)]]="","",Table1[[#This Row],[Volume (m³)]]*Table1[[#This Row],[Price / m³]])</f>
        <v>378.00000000000011</v>
      </c>
      <c r="N13">
        <v>390</v>
      </c>
      <c r="O13">
        <v>390</v>
      </c>
      <c r="P13" t="s">
        <v>288</v>
      </c>
      <c r="Q13">
        <v>19125</v>
      </c>
      <c r="R13" s="10">
        <f>Table1[[#This Row],[سعر المتر علينا]]*Table1[[#This Row],[Volume (m³)]]</f>
        <v>344.25000000000011</v>
      </c>
    </row>
    <row r="14" spans="1:18" x14ac:dyDescent="0.3">
      <c r="A14" t="s">
        <v>6</v>
      </c>
      <c r="B14" s="3">
        <v>46176</v>
      </c>
      <c r="C14" t="s">
        <v>227</v>
      </c>
      <c r="D14" t="str">
        <f>IF(Table1[[#This Row],[Customer Name]]="", "",_xlfn.XLOOKUP(C14,Table7[Customer Name],Table7[Customer ID]," "))</f>
        <v>C-013</v>
      </c>
      <c r="E14" t="s">
        <v>278</v>
      </c>
      <c r="F14" t="s">
        <v>282</v>
      </c>
      <c r="G14">
        <v>10</v>
      </c>
      <c r="H14">
        <v>2.5</v>
      </c>
      <c r="I14">
        <v>20800</v>
      </c>
      <c r="J14">
        <v>300</v>
      </c>
      <c r="K14">
        <v>67</v>
      </c>
      <c r="L14">
        <f>IF(OR(Table1[[#This Row],[Quantity]]="",Table1[[#This Row],[Length (cm)]]=""),"",(Table1[[#This Row],[Width (cm)]]/100)*(Table1[[#This Row],[Thickness (cm)]]/100)*(Table1[[#This Row],[Length (cm)]]/100)*Table1[[#This Row],[Quantity]])</f>
        <v>0.50250000000000006</v>
      </c>
      <c r="M14">
        <f>IF(Table1[[#This Row],[Volume (m³)]]="","",Table1[[#This Row],[Volume (m³)]]*Table1[[#This Row],[Price / m³]])</f>
        <v>10452.000000000002</v>
      </c>
      <c r="N14">
        <v>10500</v>
      </c>
      <c r="O14">
        <v>10500</v>
      </c>
      <c r="P14" t="s">
        <v>288</v>
      </c>
      <c r="Q14">
        <v>19125</v>
      </c>
      <c r="R14" s="10">
        <f>Table1[[#This Row],[سعر المتر علينا]]*Table1[[#This Row],[Volume (m³)]]</f>
        <v>9610.3125000000018</v>
      </c>
    </row>
    <row r="15" spans="1:18" x14ac:dyDescent="0.3">
      <c r="A15" t="s">
        <v>6</v>
      </c>
      <c r="B15" s="3">
        <v>46176</v>
      </c>
      <c r="C15" t="s">
        <v>227</v>
      </c>
      <c r="D15" t="str">
        <f>IF(Table1[[#This Row],[Customer Name]]="", "",_xlfn.XLOOKUP(C15,Table7[Customer Name],Table7[Customer ID]," "))</f>
        <v>C-013</v>
      </c>
      <c r="E15" t="s">
        <v>278</v>
      </c>
      <c r="F15" t="s">
        <v>282</v>
      </c>
      <c r="G15">
        <v>10</v>
      </c>
      <c r="H15">
        <v>2.5</v>
      </c>
      <c r="I15">
        <v>20800</v>
      </c>
      <c r="J15">
        <v>360</v>
      </c>
      <c r="K15">
        <v>55</v>
      </c>
      <c r="L15">
        <f>IF(OR(Table1[[#This Row],[Quantity]]="",Table1[[#This Row],[Length (cm)]]=""),"",(Table1[[#This Row],[Width (cm)]]/100)*(Table1[[#This Row],[Thickness (cm)]]/100)*(Table1[[#This Row],[Length (cm)]]/100)*Table1[[#This Row],[Quantity]])</f>
        <v>0.49500000000000016</v>
      </c>
      <c r="M15">
        <f>IF(Table1[[#This Row],[Volume (m³)]]="","",Table1[[#This Row],[Volume (m³)]]*Table1[[#This Row],[Price / m³]])</f>
        <v>10296.000000000004</v>
      </c>
      <c r="N15">
        <v>10300</v>
      </c>
      <c r="O15">
        <v>10300</v>
      </c>
      <c r="P15" t="s">
        <v>288</v>
      </c>
      <c r="Q15">
        <v>19125</v>
      </c>
      <c r="R15" s="10">
        <f>Table1[[#This Row],[سعر المتر علينا]]*Table1[[#This Row],[Volume (m³)]]</f>
        <v>9466.8750000000036</v>
      </c>
    </row>
    <row r="16" spans="1:18" x14ac:dyDescent="0.3">
      <c r="A16" t="s">
        <v>7</v>
      </c>
      <c r="B16" s="3">
        <v>46176</v>
      </c>
      <c r="C16" t="s">
        <v>270</v>
      </c>
      <c r="D16" t="str">
        <f>IF(Table1[[#This Row],[Customer Name]]="", "",_xlfn.XLOOKUP(C16,Table7[Customer Name],Table7[Customer ID]," "))</f>
        <v>C-011</v>
      </c>
      <c r="E16" t="s">
        <v>278</v>
      </c>
      <c r="F16" t="s">
        <v>282</v>
      </c>
      <c r="G16">
        <v>10</v>
      </c>
      <c r="H16">
        <v>2.5</v>
      </c>
      <c r="I16">
        <v>21000</v>
      </c>
      <c r="J16">
        <v>300</v>
      </c>
      <c r="K16">
        <v>6</v>
      </c>
      <c r="L16">
        <f>IF(OR(Table1[[#This Row],[Quantity]]="",Table1[[#This Row],[Length (cm)]]=""),"",(Table1[[#This Row],[Width (cm)]]/100)*(Table1[[#This Row],[Thickness (cm)]]/100)*(Table1[[#This Row],[Length (cm)]]/100)*Table1[[#This Row],[Quantity]])</f>
        <v>4.5000000000000012E-2</v>
      </c>
      <c r="M16">
        <f>IF(Table1[[#This Row],[Volume (m³)]]="","",Table1[[#This Row],[Volume (m³)]]*Table1[[#This Row],[Price / m³]])</f>
        <v>945.00000000000023</v>
      </c>
      <c r="N16">
        <v>1000</v>
      </c>
      <c r="O16">
        <v>1000</v>
      </c>
      <c r="P16" t="s">
        <v>288</v>
      </c>
      <c r="Q16">
        <v>19125</v>
      </c>
      <c r="R16" s="10">
        <f>Table1[[#This Row],[سعر المتر علينا]]*Table1[[#This Row],[Volume (m³)]]</f>
        <v>860.62500000000023</v>
      </c>
    </row>
    <row r="17" spans="1:18" x14ac:dyDescent="0.3">
      <c r="A17" t="s">
        <v>7</v>
      </c>
      <c r="B17" s="3">
        <v>46176</v>
      </c>
      <c r="C17" t="s">
        <v>270</v>
      </c>
      <c r="D17" t="str">
        <f>IF(Table1[[#This Row],[Customer Name]]="", "",_xlfn.XLOOKUP(C17,Table7[Customer Name],Table7[Customer ID]," "))</f>
        <v>C-011</v>
      </c>
      <c r="E17" t="s">
        <v>278</v>
      </c>
      <c r="F17" t="s">
        <v>282</v>
      </c>
      <c r="G17">
        <v>10</v>
      </c>
      <c r="H17">
        <v>2.5</v>
      </c>
      <c r="I17">
        <v>21000</v>
      </c>
      <c r="J17">
        <v>480</v>
      </c>
      <c r="K17">
        <v>11</v>
      </c>
      <c r="L17">
        <f>IF(OR(Table1[[#This Row],[Quantity]]="",Table1[[#This Row],[Length (cm)]]=""),"",(Table1[[#This Row],[Width (cm)]]/100)*(Table1[[#This Row],[Thickness (cm)]]/100)*(Table1[[#This Row],[Length (cm)]]/100)*Table1[[#This Row],[Quantity]])</f>
        <v>0.13200000000000003</v>
      </c>
      <c r="M17">
        <f>IF(Table1[[#This Row],[Volume (m³)]]="","",Table1[[#This Row],[Volume (m³)]]*Table1[[#This Row],[Price / m³]])</f>
        <v>2772.0000000000009</v>
      </c>
      <c r="N17">
        <v>2770</v>
      </c>
      <c r="O17">
        <v>2770</v>
      </c>
      <c r="P17" t="s">
        <v>288</v>
      </c>
      <c r="Q17">
        <v>19125</v>
      </c>
      <c r="R17" s="10">
        <f>Table1[[#This Row],[سعر المتر علينا]]*Table1[[#This Row],[Volume (m³)]]</f>
        <v>2524.5000000000005</v>
      </c>
    </row>
    <row r="18" spans="1:18" x14ac:dyDescent="0.3">
      <c r="A18" t="s">
        <v>8</v>
      </c>
      <c r="B18" s="3">
        <v>46176</v>
      </c>
      <c r="C18" t="s">
        <v>236</v>
      </c>
      <c r="D18" t="str">
        <f>IF(Table1[[#This Row],[Customer Name]]="", "",_xlfn.XLOOKUP(C18,Table7[Customer Name],Table7[Customer ID]," "))</f>
        <v>C-022</v>
      </c>
      <c r="E18" t="s">
        <v>278</v>
      </c>
      <c r="F18" t="s">
        <v>283</v>
      </c>
      <c r="G18">
        <v>10</v>
      </c>
      <c r="H18">
        <v>2.5</v>
      </c>
      <c r="I18">
        <v>21000</v>
      </c>
      <c r="J18">
        <v>90</v>
      </c>
      <c r="K18">
        <v>20</v>
      </c>
      <c r="L18">
        <f>IF(OR(Table1[[#This Row],[Quantity]]="",Table1[[#This Row],[Length (cm)]]=""),"",(Table1[[#This Row],[Width (cm)]]/100)*(Table1[[#This Row],[Thickness (cm)]]/100)*(Table1[[#This Row],[Length (cm)]]/100)*Table1[[#This Row],[Quantity]])</f>
        <v>4.5000000000000012E-2</v>
      </c>
      <c r="M18">
        <f>IF(Table1[[#This Row],[Volume (m³)]]="","",Table1[[#This Row],[Volume (m³)]]*Table1[[#This Row],[Price / m³]])</f>
        <v>945.00000000000023</v>
      </c>
      <c r="N18">
        <v>925</v>
      </c>
      <c r="O18">
        <v>925</v>
      </c>
      <c r="P18" t="s">
        <v>289</v>
      </c>
      <c r="Q18">
        <v>19125</v>
      </c>
      <c r="R18" s="10">
        <f>Table1[[#This Row],[سعر المتر علينا]]*Table1[[#This Row],[Volume (m³)]]</f>
        <v>860.62500000000023</v>
      </c>
    </row>
    <row r="19" spans="1:18" x14ac:dyDescent="0.3">
      <c r="A19" t="s">
        <v>8</v>
      </c>
      <c r="B19" s="3">
        <v>46176</v>
      </c>
      <c r="C19" t="s">
        <v>236</v>
      </c>
      <c r="D19" t="str">
        <f>IF(Table1[[#This Row],[Customer Name]]="", "",_xlfn.XLOOKUP(C19,Table7[Customer Name],Table7[Customer ID]," "))</f>
        <v>C-022</v>
      </c>
      <c r="E19" t="s">
        <v>278</v>
      </c>
      <c r="F19" t="s">
        <v>283</v>
      </c>
      <c r="G19">
        <v>10</v>
      </c>
      <c r="H19">
        <v>2.5</v>
      </c>
      <c r="I19">
        <v>21000</v>
      </c>
      <c r="J19">
        <v>120</v>
      </c>
      <c r="K19">
        <v>20</v>
      </c>
      <c r="L19">
        <f>IF(OR(Table1[[#This Row],[Quantity]]="",Table1[[#This Row],[Length (cm)]]=""),"",(Table1[[#This Row],[Width (cm)]]/100)*(Table1[[#This Row],[Thickness (cm)]]/100)*(Table1[[#This Row],[Length (cm)]]/100)*Table1[[#This Row],[Quantity]])</f>
        <v>6.0000000000000012E-2</v>
      </c>
      <c r="M19">
        <f>IF(Table1[[#This Row],[Volume (m³)]]="","",Table1[[#This Row],[Volume (m³)]]*Table1[[#This Row],[Price / m³]])</f>
        <v>1260.0000000000002</v>
      </c>
      <c r="N19">
        <v>1260</v>
      </c>
      <c r="O19">
        <v>1260</v>
      </c>
      <c r="P19" t="s">
        <v>288</v>
      </c>
      <c r="Q19">
        <v>19125</v>
      </c>
      <c r="R19" s="10">
        <f>Table1[[#This Row],[سعر المتر علينا]]*Table1[[#This Row],[Volume (m³)]]</f>
        <v>1147.5000000000002</v>
      </c>
    </row>
    <row r="20" spans="1:18" x14ac:dyDescent="0.3">
      <c r="A20" t="s">
        <v>8</v>
      </c>
      <c r="B20" s="3">
        <v>46176</v>
      </c>
      <c r="C20" t="s">
        <v>236</v>
      </c>
      <c r="D20" t="str">
        <f>IF(Table1[[#This Row],[Customer Name]]="", "",_xlfn.XLOOKUP(C20,Table7[Customer Name],Table7[Customer ID]," "))</f>
        <v>C-022</v>
      </c>
      <c r="E20" t="s">
        <v>278</v>
      </c>
      <c r="F20" t="s">
        <v>283</v>
      </c>
      <c r="G20">
        <v>10</v>
      </c>
      <c r="H20">
        <v>2.5</v>
      </c>
      <c r="I20">
        <v>21000</v>
      </c>
      <c r="J20">
        <v>150</v>
      </c>
      <c r="K20">
        <v>20</v>
      </c>
      <c r="L20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7.5000000000000011E-2</v>
      </c>
      <c r="M20">
        <f>IF(Table1[[#This Row],[Volume (m³)]]="","",Table1[[#This Row],[Volume (m³)]]*Table1[[#This Row],[Price / m³]])</f>
        <v>1575.0000000000002</v>
      </c>
      <c r="N20">
        <v>1575</v>
      </c>
      <c r="O20">
        <v>1575</v>
      </c>
      <c r="P20" t="s">
        <v>289</v>
      </c>
      <c r="Q20">
        <v>19125</v>
      </c>
      <c r="R20" s="10">
        <f>Table1[[#This Row],[سعر المتر علينا]]*Table1[[#This Row],[Volume (m³)]]</f>
        <v>1434.3750000000002</v>
      </c>
    </row>
    <row r="21" spans="1:18" x14ac:dyDescent="0.3">
      <c r="A21" t="s">
        <v>8</v>
      </c>
      <c r="B21" s="3">
        <v>46176</v>
      </c>
      <c r="C21" t="s">
        <v>236</v>
      </c>
      <c r="D21" t="str">
        <f>IF(Table1[[#This Row],[Customer Name]]="", "",_xlfn.XLOOKUP(C21,Table7[Customer Name],Table7[Customer ID]," "))</f>
        <v>C-022</v>
      </c>
      <c r="E21" t="s">
        <v>278</v>
      </c>
      <c r="F21" t="s">
        <v>283</v>
      </c>
      <c r="G21">
        <v>10</v>
      </c>
      <c r="H21">
        <v>2.5</v>
      </c>
      <c r="I21">
        <v>21000</v>
      </c>
      <c r="J21">
        <v>180</v>
      </c>
      <c r="K21">
        <v>20</v>
      </c>
      <c r="L21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9.0000000000000024E-2</v>
      </c>
      <c r="M21">
        <f>IF(Table1[[#This Row],[Volume (m³)]]="","",Table1[[#This Row],[Volume (m³)]]*Table1[[#This Row],[Price / m³]])</f>
        <v>1890.0000000000005</v>
      </c>
      <c r="N21">
        <v>1790</v>
      </c>
      <c r="O21">
        <v>1790</v>
      </c>
      <c r="P21" t="s">
        <v>289</v>
      </c>
      <c r="Q21">
        <v>19125</v>
      </c>
      <c r="R21" s="10">
        <f>Table1[[#This Row],[سعر المتر علينا]]*Table1[[#This Row],[Volume (m³)]]</f>
        <v>1721.2500000000005</v>
      </c>
    </row>
    <row r="22" spans="1:18" x14ac:dyDescent="0.3">
      <c r="A22" t="s">
        <v>9</v>
      </c>
      <c r="B22" s="3">
        <v>46176</v>
      </c>
      <c r="C22" t="s">
        <v>265</v>
      </c>
      <c r="D22" t="str">
        <f>IF(Table1[[#This Row],[Customer Name]]="", "",_xlfn.XLOOKUP(C22,Table7[Customer Name],Table7[Customer ID]," "))</f>
        <v>C-002</v>
      </c>
      <c r="E22" t="s">
        <v>278</v>
      </c>
      <c r="F22" t="s">
        <v>283</v>
      </c>
      <c r="G22">
        <v>10</v>
      </c>
      <c r="H22">
        <v>2.5</v>
      </c>
      <c r="I22">
        <v>19800</v>
      </c>
      <c r="J22">
        <v>120</v>
      </c>
      <c r="K22">
        <v>15</v>
      </c>
      <c r="L22">
        <f>IF(OR(Table1[[#This Row],[Quantity]]="",Table1[[#This Row],[Length (cm)]]=""),"",(Table1[[#This Row],[Width (cm)]]/100)*(Table1[[#This Row],[Thickness (cm)]]/100)*(Table1[[#This Row],[Length (cm)]]/100)*Table1[[#This Row],[Quantity]])</f>
        <v>4.5000000000000005E-2</v>
      </c>
      <c r="M22">
        <f>IF(Table1[[#This Row],[Volume (m³)]]="","",Table1[[#This Row],[Volume (m³)]]*Table1[[#This Row],[Price / m³]])</f>
        <v>891.00000000000011</v>
      </c>
      <c r="N22">
        <v>895</v>
      </c>
      <c r="O22">
        <v>0</v>
      </c>
      <c r="P22" t="s">
        <v>285</v>
      </c>
      <c r="Q22">
        <v>19125</v>
      </c>
      <c r="R22" s="10">
        <f>Table1[[#This Row],[سعر المتر علينا]]*Table1[[#This Row],[Volume (m³)]]</f>
        <v>860.62500000000011</v>
      </c>
    </row>
    <row r="23" spans="1:18" x14ac:dyDescent="0.3">
      <c r="A23" t="s">
        <v>9</v>
      </c>
      <c r="B23" s="3">
        <v>46176</v>
      </c>
      <c r="C23" t="s">
        <v>265</v>
      </c>
      <c r="D23" t="str">
        <f>IF(Table1[[#This Row],[Customer Name]]="", "",_xlfn.XLOOKUP(C23,Table7[Customer Name],Table7[Customer ID]," "))</f>
        <v>C-002</v>
      </c>
      <c r="E23" t="s">
        <v>278</v>
      </c>
      <c r="F23" t="s">
        <v>282</v>
      </c>
      <c r="G23">
        <v>10</v>
      </c>
      <c r="H23">
        <v>2.5</v>
      </c>
      <c r="I23">
        <v>19800</v>
      </c>
      <c r="J23">
        <v>270</v>
      </c>
      <c r="K23">
        <v>148</v>
      </c>
      <c r="L23">
        <f>IF(OR(Table1[[#This Row],[Quantity]]="",Table1[[#This Row],[Length (cm)]]=""),"",(Table1[[#This Row],[Width (cm)]]/100)*(Table1[[#This Row],[Thickness (cm)]]/100)*(Table1[[#This Row],[Length (cm)]]/100)*Table1[[#This Row],[Quantity]])</f>
        <v>0.99900000000000022</v>
      </c>
      <c r="M23">
        <f>IF(Table1[[#This Row],[Volume (m³)]]="","",Table1[[#This Row],[Volume (m³)]]*Table1[[#This Row],[Price / m³]])</f>
        <v>19780.200000000004</v>
      </c>
      <c r="N23">
        <v>19780</v>
      </c>
      <c r="O23">
        <v>0</v>
      </c>
      <c r="P23" t="s">
        <v>285</v>
      </c>
      <c r="Q23">
        <v>19125</v>
      </c>
      <c r="R23" s="10">
        <f>Table1[[#This Row],[سعر المتر علينا]]*Table1[[#This Row],[Volume (m³)]]</f>
        <v>19105.875000000004</v>
      </c>
    </row>
    <row r="24" spans="1:18" x14ac:dyDescent="0.3">
      <c r="A24" t="s">
        <v>9</v>
      </c>
      <c r="B24" s="3">
        <v>46176</v>
      </c>
      <c r="C24" t="s">
        <v>265</v>
      </c>
      <c r="D24" t="str">
        <f>IF(Table1[[#This Row],[Customer Name]]="", "",_xlfn.XLOOKUP(C24,Table7[Customer Name],Table7[Customer ID]," "))</f>
        <v>C-002</v>
      </c>
      <c r="E24" t="s">
        <v>278</v>
      </c>
      <c r="F24" t="s">
        <v>282</v>
      </c>
      <c r="G24">
        <v>10</v>
      </c>
      <c r="H24">
        <v>2.5</v>
      </c>
      <c r="I24">
        <v>19800</v>
      </c>
      <c r="J24">
        <v>300</v>
      </c>
      <c r="K24">
        <v>30</v>
      </c>
      <c r="L24">
        <f>IF(OR(Table1[[#This Row],[Quantity]]="",Table1[[#This Row],[Length (cm)]]=""),"",(Table1[[#This Row],[Width (cm)]]/100)*(Table1[[#This Row],[Thickness (cm)]]/100)*(Table1[[#This Row],[Length (cm)]]/100)*Table1[[#This Row],[Quantity]])</f>
        <v>0.22500000000000003</v>
      </c>
      <c r="M24">
        <f>IF(Table1[[#This Row],[Volume (m³)]]="","",Table1[[#This Row],[Volume (m³)]]*Table1[[#This Row],[Price / m³]])</f>
        <v>4455.0000000000009</v>
      </c>
      <c r="N24">
        <v>4455</v>
      </c>
      <c r="O24">
        <v>0</v>
      </c>
      <c r="P24" t="s">
        <v>285</v>
      </c>
      <c r="Q24">
        <v>19125</v>
      </c>
      <c r="R24" s="10">
        <f>Table1[[#This Row],[سعر المتر علينا]]*Table1[[#This Row],[Volume (m³)]]</f>
        <v>4303.1250000000009</v>
      </c>
    </row>
    <row r="25" spans="1:18" x14ac:dyDescent="0.3">
      <c r="A25" t="s">
        <v>10</v>
      </c>
      <c r="B25" s="3">
        <v>46177</v>
      </c>
      <c r="C25" t="s">
        <v>266</v>
      </c>
      <c r="D25" t="str">
        <f>IF(Table1[[#This Row],[Customer Name]]="", "",_xlfn.XLOOKUP(C25,Table7[Customer Name],Table7[Customer ID]," "))</f>
        <v>C-004</v>
      </c>
      <c r="E25" t="s">
        <v>278</v>
      </c>
      <c r="F25" t="s">
        <v>283</v>
      </c>
      <c r="G25">
        <v>10</v>
      </c>
      <c r="H25">
        <v>2.5</v>
      </c>
      <c r="I25">
        <v>21000</v>
      </c>
      <c r="J25">
        <v>90</v>
      </c>
      <c r="K25">
        <v>25</v>
      </c>
      <c r="L25">
        <f>IF(OR(Table1[[#This Row],[Quantity]]="",Table1[[#This Row],[Length (cm)]]=""),"",(Table1[[#This Row],[Width (cm)]]/100)*(Table1[[#This Row],[Thickness (cm)]]/100)*(Table1[[#This Row],[Length (cm)]]/100)*Table1[[#This Row],[Quantity]])</f>
        <v>5.6250000000000015E-2</v>
      </c>
      <c r="M25">
        <f>IF(Table1[[#This Row],[Volume (m³)]]="","",Table1[[#This Row],[Volume (m³)]]*Table1[[#This Row],[Price / m³]])</f>
        <v>1181.2500000000002</v>
      </c>
      <c r="N25">
        <v>1180</v>
      </c>
      <c r="O25">
        <v>1180</v>
      </c>
      <c r="P25" t="s">
        <v>285</v>
      </c>
      <c r="Q25">
        <v>19125</v>
      </c>
      <c r="R25" s="10">
        <f>Table1[[#This Row],[سعر المتر علينا]]*Table1[[#This Row],[Volume (m³)]]</f>
        <v>1075.7812500000002</v>
      </c>
    </row>
    <row r="26" spans="1:18" x14ac:dyDescent="0.3">
      <c r="A26" t="s">
        <v>10</v>
      </c>
      <c r="B26" s="3">
        <v>46177</v>
      </c>
      <c r="C26" t="s">
        <v>266</v>
      </c>
      <c r="D26" t="str">
        <f>IF(Table1[[#This Row],[Customer Name]]="", "",_xlfn.XLOOKUP(C26,Table7[Customer Name],Table7[Customer ID]," "))</f>
        <v>C-004</v>
      </c>
      <c r="E26" t="s">
        <v>278</v>
      </c>
      <c r="F26" t="s">
        <v>283</v>
      </c>
      <c r="G26">
        <v>10</v>
      </c>
      <c r="H26">
        <v>2.5</v>
      </c>
      <c r="I26">
        <v>21000</v>
      </c>
      <c r="J26">
        <v>120</v>
      </c>
      <c r="K26">
        <v>25</v>
      </c>
      <c r="L26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7.5000000000000011E-2</v>
      </c>
      <c r="M26">
        <f>IF(Table1[[#This Row],[Volume (m³)]]="","",Table1[[#This Row],[Volume (m³)]]*Table1[[#This Row],[Price / m³]])</f>
        <v>1575.0000000000002</v>
      </c>
      <c r="N26">
        <v>1575</v>
      </c>
      <c r="O26">
        <v>1575</v>
      </c>
      <c r="P26" t="s">
        <v>285</v>
      </c>
      <c r="Q26">
        <v>19125</v>
      </c>
      <c r="R26" s="10">
        <f>Table1[[#This Row],[سعر المتر علينا]]*Table1[[#This Row],[Volume (m³)]]</f>
        <v>1434.3750000000002</v>
      </c>
    </row>
    <row r="27" spans="1:18" x14ac:dyDescent="0.3">
      <c r="A27" t="s">
        <v>10</v>
      </c>
      <c r="B27" s="3">
        <v>46177</v>
      </c>
      <c r="C27" t="s">
        <v>266</v>
      </c>
      <c r="D27" t="str">
        <f>IF(Table1[[#This Row],[Customer Name]]="", "",_xlfn.XLOOKUP(C27,Table7[Customer Name],Table7[Customer ID]," "))</f>
        <v>C-004</v>
      </c>
      <c r="E27" t="s">
        <v>278</v>
      </c>
      <c r="F27" t="s">
        <v>282</v>
      </c>
      <c r="G27">
        <v>10</v>
      </c>
      <c r="H27">
        <v>2.5</v>
      </c>
      <c r="I27">
        <v>21500</v>
      </c>
      <c r="J27">
        <v>480</v>
      </c>
      <c r="K27">
        <v>25</v>
      </c>
      <c r="L27">
        <f>IF(OR(Table1[[#This Row],[Quantity]]="",Table1[[#This Row],[Length (cm)]]=""),"",(Table1[[#This Row],[Width (cm)]]/100)*(Table1[[#This Row],[Thickness (cm)]]/100)*(Table1[[#This Row],[Length (cm)]]/100)*Table1[[#This Row],[Quantity]])</f>
        <v>0.30000000000000004</v>
      </c>
      <c r="M27">
        <f>IF(Table1[[#This Row],[Volume (m³)]]="","",Table1[[#This Row],[Volume (m³)]]*Table1[[#This Row],[Price / m³]])</f>
        <v>6450.0000000000009</v>
      </c>
      <c r="N27">
        <v>6450</v>
      </c>
      <c r="O27">
        <v>6450</v>
      </c>
      <c r="P27" t="s">
        <v>285</v>
      </c>
      <c r="Q27">
        <v>19125</v>
      </c>
      <c r="R27" s="10">
        <f>Table1[[#This Row],[سعر المتر علينا]]*Table1[[#This Row],[Volume (m³)]]</f>
        <v>5737.5000000000009</v>
      </c>
    </row>
    <row r="28" spans="1:18" x14ac:dyDescent="0.3">
      <c r="A28" t="s">
        <v>10</v>
      </c>
      <c r="B28" s="3">
        <v>46177</v>
      </c>
      <c r="C28" t="s">
        <v>266</v>
      </c>
      <c r="D28" t="str">
        <f>IF(Table1[[#This Row],[Customer Name]]="", "",_xlfn.XLOOKUP(C28,Table7[Customer Name],Table7[Customer ID]," "))</f>
        <v>C-004</v>
      </c>
      <c r="E28" t="s">
        <v>278</v>
      </c>
      <c r="F28" t="s">
        <v>282</v>
      </c>
      <c r="G28">
        <v>10</v>
      </c>
      <c r="H28">
        <v>2.5</v>
      </c>
      <c r="I28">
        <v>21500</v>
      </c>
      <c r="J28">
        <v>510</v>
      </c>
      <c r="K28">
        <v>25</v>
      </c>
      <c r="L28">
        <f>IF(OR(Table1[[#This Row],[Quantity]]="",Table1[[#This Row],[Length (cm)]]=""),"",(Table1[[#This Row],[Width (cm)]]/100)*(Table1[[#This Row],[Thickness (cm)]]/100)*(Table1[[#This Row],[Length (cm)]]/100)*Table1[[#This Row],[Quantity]])</f>
        <v>0.31875000000000003</v>
      </c>
      <c r="M28">
        <f>IF(Table1[[#This Row],[Volume (m³)]]="","",Table1[[#This Row],[Volume (m³)]]*Table1[[#This Row],[Price / m³]])</f>
        <v>6853.1250000000009</v>
      </c>
      <c r="N28">
        <v>6800</v>
      </c>
      <c r="O28">
        <v>5800</v>
      </c>
      <c r="P28" t="s">
        <v>285</v>
      </c>
      <c r="Q28">
        <v>19125</v>
      </c>
      <c r="R28" s="10">
        <f>Table1[[#This Row],[سعر المتر علينا]]*Table1[[#This Row],[Volume (m³)]]</f>
        <v>6096.0937500000009</v>
      </c>
    </row>
    <row r="29" spans="1:18" x14ac:dyDescent="0.3">
      <c r="A29" t="s">
        <v>11</v>
      </c>
      <c r="B29" s="3">
        <v>46177</v>
      </c>
      <c r="C29" t="s">
        <v>224</v>
      </c>
      <c r="D29" t="str">
        <f>IF(Table1[[#This Row],[Customer Name]]="", "",_xlfn.XLOOKUP(C29,Table7[Customer Name],Table7[Customer ID]," "))</f>
        <v>C-007</v>
      </c>
      <c r="E29" t="s">
        <v>280</v>
      </c>
      <c r="F29" t="s">
        <v>284</v>
      </c>
      <c r="G29">
        <v>9</v>
      </c>
      <c r="H29">
        <v>7</v>
      </c>
      <c r="I29">
        <v>22000</v>
      </c>
      <c r="J29">
        <v>300</v>
      </c>
      <c r="K29">
        <v>180</v>
      </c>
      <c r="L29">
        <f>IF(OR(Table1[[#This Row],[Quantity]]="",Table1[[#This Row],[Length (cm)]]=""),"",(Table1[[#This Row],[Width (cm)]]/100)*(Table1[[#This Row],[Thickness (cm)]]/100)*(Table1[[#This Row],[Length (cm)]]/100)*Table1[[#This Row],[Quantity]])</f>
        <v>3.4020000000000001</v>
      </c>
      <c r="M29">
        <f>IF(Table1[[#This Row],[Volume (m³)]]="","",Table1[[#This Row],[Volume (m³)]]*Table1[[#This Row],[Price / m³]])</f>
        <v>74844</v>
      </c>
      <c r="N29">
        <v>74800</v>
      </c>
      <c r="O29">
        <v>40200</v>
      </c>
      <c r="P29" t="s">
        <v>286</v>
      </c>
      <c r="Q29">
        <v>19125</v>
      </c>
      <c r="R29" s="10">
        <f>Table1[[#This Row],[سعر المتر علينا]]*Table1[[#This Row],[Volume (m³)]]</f>
        <v>65063.25</v>
      </c>
    </row>
    <row r="30" spans="1:18" x14ac:dyDescent="0.3">
      <c r="A30" t="s">
        <v>11</v>
      </c>
      <c r="B30" s="3">
        <v>46177</v>
      </c>
      <c r="C30" t="s">
        <v>224</v>
      </c>
      <c r="D30" t="str">
        <f>IF(Table1[[#This Row],[Customer Name]]="", "",_xlfn.XLOOKUP(C30,Table7[Customer Name],Table7[Customer ID]," "))</f>
        <v>C-007</v>
      </c>
      <c r="E30" t="s">
        <v>278</v>
      </c>
      <c r="F30" t="s">
        <v>282</v>
      </c>
      <c r="G30">
        <v>10</v>
      </c>
      <c r="H30">
        <v>2.5</v>
      </c>
      <c r="I30">
        <v>21000</v>
      </c>
      <c r="J30">
        <v>330</v>
      </c>
      <c r="K30">
        <v>242</v>
      </c>
      <c r="L30">
        <f>IF(OR(Table1[[#This Row],[Quantity]]="",Table1[[#This Row],[Length (cm)]]=""),"",(Table1[[#This Row],[Width (cm)]]/100)*(Table1[[#This Row],[Thickness (cm)]]/100)*(Table1[[#This Row],[Length (cm)]]/100)*Table1[[#This Row],[Quantity]])</f>
        <v>1.9965000000000002</v>
      </c>
      <c r="M30">
        <f>IF(Table1[[#This Row],[Volume (m³)]]="","",Table1[[#This Row],[Volume (m³)]]*Table1[[#This Row],[Price / m³]])</f>
        <v>41926.5</v>
      </c>
      <c r="N30">
        <v>42000</v>
      </c>
      <c r="O30">
        <v>10000</v>
      </c>
      <c r="P30" t="s">
        <v>286</v>
      </c>
      <c r="Q30">
        <v>19125</v>
      </c>
      <c r="R30" s="10">
        <f>Table1[[#This Row],[سعر المتر علينا]]*Table1[[#This Row],[Volume (m³)]]</f>
        <v>38183.0625</v>
      </c>
    </row>
    <row r="31" spans="1:18" x14ac:dyDescent="0.3">
      <c r="A31" t="s">
        <v>12</v>
      </c>
      <c r="B31" s="3">
        <v>46177</v>
      </c>
      <c r="C31" t="s">
        <v>237</v>
      </c>
      <c r="D31" t="str">
        <f>IF(Table1[[#This Row],[Customer Name]]="", "",_xlfn.XLOOKUP(C31,Table7[Customer Name],Table7[Customer ID]," "))</f>
        <v>C-023</v>
      </c>
      <c r="E31" t="s">
        <v>278</v>
      </c>
      <c r="F31" t="s">
        <v>282</v>
      </c>
      <c r="G31">
        <v>10</v>
      </c>
      <c r="H31">
        <v>2.5</v>
      </c>
      <c r="I31">
        <v>21000</v>
      </c>
      <c r="J31">
        <v>270</v>
      </c>
      <c r="K31">
        <v>1</v>
      </c>
      <c r="L31">
        <f>IF(OR(Table1[[#This Row],[Quantity]]="",Table1[[#This Row],[Length (cm)]]=""),"",(Table1[[#This Row],[Width (cm)]]/100)*(Table1[[#This Row],[Thickness (cm)]]/100)*(Table1[[#This Row],[Length (cm)]]/100)*Table1[[#This Row],[Quantity]])</f>
        <v>6.7500000000000017E-3</v>
      </c>
      <c r="M31">
        <f>IF(Table1[[#This Row],[Volume (m³)]]="","",Table1[[#This Row],[Volume (m³)]]*Table1[[#This Row],[Price / m³]])</f>
        <v>141.75000000000003</v>
      </c>
      <c r="N31">
        <v>145</v>
      </c>
      <c r="O31">
        <v>145</v>
      </c>
      <c r="P31" t="s">
        <v>289</v>
      </c>
      <c r="Q31">
        <v>19125</v>
      </c>
      <c r="R31" s="10">
        <f>Table1[[#This Row],[سعر المتر علينا]]*Table1[[#This Row],[Volume (m³)]]</f>
        <v>129.09375000000003</v>
      </c>
    </row>
    <row r="32" spans="1:18" x14ac:dyDescent="0.3">
      <c r="A32" t="s">
        <v>13</v>
      </c>
      <c r="B32" s="3">
        <v>46179</v>
      </c>
      <c r="C32" t="s">
        <v>223</v>
      </c>
      <c r="D32" t="str">
        <f>IF(Table1[[#This Row],[Customer Name]]="", "",_xlfn.XLOOKUP(C32,Table7[Customer Name],Table7[Customer ID]," "))</f>
        <v>C-003</v>
      </c>
      <c r="E32" t="s">
        <v>278</v>
      </c>
      <c r="F32" t="s">
        <v>282</v>
      </c>
      <c r="G32">
        <v>10</v>
      </c>
      <c r="H32">
        <v>2.5</v>
      </c>
      <c r="I32">
        <v>19600</v>
      </c>
      <c r="J32">
        <v>300</v>
      </c>
      <c r="K32">
        <v>50</v>
      </c>
      <c r="L32">
        <f>IF(OR(Table1[[#This Row],[Quantity]]="",Table1[[#This Row],[Length (cm)]]=""),"",(Table1[[#This Row],[Width (cm)]]/100)*(Table1[[#This Row],[Thickness (cm)]]/100)*(Table1[[#This Row],[Length (cm)]]/100)*Table1[[#This Row],[Quantity]])</f>
        <v>0.37500000000000006</v>
      </c>
      <c r="M32">
        <f>IF(Table1[[#This Row],[Volume (m³)]]="","",Table1[[#This Row],[Volume (m³)]]*Table1[[#This Row],[Price / m³]])</f>
        <v>7350.0000000000009</v>
      </c>
      <c r="N32">
        <v>7350</v>
      </c>
      <c r="O32">
        <v>0</v>
      </c>
      <c r="P32" t="s">
        <v>285</v>
      </c>
      <c r="Q32">
        <v>19125</v>
      </c>
      <c r="R32" s="10">
        <f>Table1[[#This Row],[سعر المتر علينا]]*Table1[[#This Row],[Volume (m³)]]</f>
        <v>7171.8750000000009</v>
      </c>
    </row>
    <row r="33" spans="1:18" x14ac:dyDescent="0.3">
      <c r="A33" t="s">
        <v>13</v>
      </c>
      <c r="B33" s="3">
        <v>46179</v>
      </c>
      <c r="C33" t="s">
        <v>223</v>
      </c>
      <c r="D33" t="str">
        <f>IF(Table1[[#This Row],[Customer Name]]="", "",_xlfn.XLOOKUP(C33,Table7[Customer Name],Table7[Customer ID]," "))</f>
        <v>C-003</v>
      </c>
      <c r="E33" t="s">
        <v>278</v>
      </c>
      <c r="F33" t="s">
        <v>282</v>
      </c>
      <c r="G33">
        <v>10</v>
      </c>
      <c r="H33">
        <v>2.5</v>
      </c>
      <c r="I33">
        <v>19600</v>
      </c>
      <c r="J33">
        <v>360</v>
      </c>
      <c r="K33">
        <v>50</v>
      </c>
      <c r="L33">
        <f>IF(OR(Table1[[#This Row],[Quantity]]="",Table1[[#This Row],[Length (cm)]]=""),"",(Table1[[#This Row],[Width (cm)]]/100)*(Table1[[#This Row],[Thickness (cm)]]/100)*(Table1[[#This Row],[Length (cm)]]/100)*Table1[[#This Row],[Quantity]])</f>
        <v>0.45000000000000012</v>
      </c>
      <c r="M33">
        <f>IF(Table1[[#This Row],[Volume (m³)]]="","",Table1[[#This Row],[Volume (m³)]]*Table1[[#This Row],[Price / m³]])</f>
        <v>8820.0000000000018</v>
      </c>
      <c r="N33">
        <v>8820</v>
      </c>
      <c r="O33">
        <v>0</v>
      </c>
      <c r="P33" t="s">
        <v>286</v>
      </c>
      <c r="Q33">
        <v>19125</v>
      </c>
      <c r="R33" s="10">
        <f>Table1[[#This Row],[سعر المتر علينا]]*Table1[[#This Row],[Volume (m³)]]</f>
        <v>8606.2500000000018</v>
      </c>
    </row>
    <row r="34" spans="1:18" x14ac:dyDescent="0.3">
      <c r="A34" t="s">
        <v>13</v>
      </c>
      <c r="B34" s="3">
        <v>46179</v>
      </c>
      <c r="C34" t="s">
        <v>223</v>
      </c>
      <c r="D34" t="str">
        <f>IF(Table1[[#This Row],[Customer Name]]="", "",_xlfn.XLOOKUP(C34,Table7[Customer Name],Table7[Customer ID]," "))</f>
        <v>C-003</v>
      </c>
      <c r="E34" t="s">
        <v>278</v>
      </c>
      <c r="F34" t="s">
        <v>282</v>
      </c>
      <c r="G34">
        <v>12.5</v>
      </c>
      <c r="H34">
        <v>2.5</v>
      </c>
      <c r="I34">
        <v>17000</v>
      </c>
      <c r="J34">
        <v>360</v>
      </c>
      <c r="K34">
        <v>25</v>
      </c>
      <c r="L34">
        <f>IF(OR(Table1[[#This Row],[Quantity]]="",Table1[[#This Row],[Length (cm)]]=""),"",(Table1[[#This Row],[Width (cm)]]/100)*(Table1[[#This Row],[Thickness (cm)]]/100)*(Table1[[#This Row],[Length (cm)]]/100)*Table1[[#This Row],[Quantity]])</f>
        <v>0.28125000000000006</v>
      </c>
      <c r="M34">
        <f>IF(Table1[[#This Row],[Volume (m³)]]="","",Table1[[#This Row],[Volume (m³)]]*Table1[[#This Row],[Price / m³]])</f>
        <v>4781.2500000000009</v>
      </c>
      <c r="N34">
        <v>4770</v>
      </c>
      <c r="O34">
        <v>0</v>
      </c>
      <c r="P34" t="s">
        <v>286</v>
      </c>
      <c r="Q34">
        <v>19125</v>
      </c>
      <c r="R34" s="10">
        <f>Table1[[#This Row],[سعر المتر علينا]]*Table1[[#This Row],[Volume (m³)]]</f>
        <v>5378.9062500000009</v>
      </c>
    </row>
    <row r="35" spans="1:18" x14ac:dyDescent="0.3">
      <c r="A35" t="s">
        <v>14</v>
      </c>
      <c r="B35" s="3">
        <v>46179</v>
      </c>
      <c r="C35" t="s">
        <v>238</v>
      </c>
      <c r="D35" t="str">
        <f>IF(Table1[[#This Row],[Customer Name]]="", "",_xlfn.XLOOKUP(C35,Table7[Customer Name],Table7[Customer ID]," "))</f>
        <v>C-024</v>
      </c>
      <c r="E35" t="s">
        <v>278</v>
      </c>
      <c r="F35" t="s">
        <v>282</v>
      </c>
      <c r="G35">
        <v>10</v>
      </c>
      <c r="H35">
        <v>2.5</v>
      </c>
      <c r="I35">
        <v>21000</v>
      </c>
      <c r="J35">
        <v>510</v>
      </c>
      <c r="K35">
        <v>100</v>
      </c>
      <c r="L35">
        <f>IF(OR(Table1[[#This Row],[Quantity]]="",Table1[[#This Row],[Length (cm)]]=""),"",(Table1[[#This Row],[Width (cm)]]/100)*(Table1[[#This Row],[Thickness (cm)]]/100)*(Table1[[#This Row],[Length (cm)]]/100)*Table1[[#This Row],[Quantity]])</f>
        <v>1.2750000000000001</v>
      </c>
      <c r="M35">
        <f>IF(Table1[[#This Row],[Volume (m³)]]="","",Table1[[#This Row],[Volume (m³)]]*Table1[[#This Row],[Price / m³]])</f>
        <v>26775.000000000004</v>
      </c>
      <c r="N35">
        <v>26700</v>
      </c>
      <c r="O35">
        <v>26700</v>
      </c>
      <c r="P35" t="s">
        <v>289</v>
      </c>
      <c r="Q35">
        <v>19125</v>
      </c>
      <c r="R35" s="10">
        <f>Table1[[#This Row],[سعر المتر علينا]]*Table1[[#This Row],[Volume (m³)]]</f>
        <v>24384.375000000004</v>
      </c>
    </row>
    <row r="36" spans="1:18" x14ac:dyDescent="0.3">
      <c r="A36" t="s">
        <v>15</v>
      </c>
      <c r="B36" s="3">
        <v>46180</v>
      </c>
      <c r="C36" t="s">
        <v>227</v>
      </c>
      <c r="D36" t="str">
        <f>IF(Table1[[#This Row],[Customer Name]]="", "",_xlfn.XLOOKUP(C36,Table7[Customer Name],Table7[Customer ID]," "))</f>
        <v>C-013</v>
      </c>
      <c r="E36" t="s">
        <v>278</v>
      </c>
      <c r="F36" t="s">
        <v>282</v>
      </c>
      <c r="G36">
        <v>10</v>
      </c>
      <c r="H36">
        <v>2.5</v>
      </c>
      <c r="I36">
        <v>20800</v>
      </c>
      <c r="J36">
        <v>330</v>
      </c>
      <c r="K36">
        <v>121</v>
      </c>
      <c r="L36">
        <f>IF(OR(Table1[[#This Row],[Quantity]]="",Table1[[#This Row],[Length (cm)]]=""),"",(Table1[[#This Row],[Width (cm)]]/100)*(Table1[[#This Row],[Thickness (cm)]]/100)*(Table1[[#This Row],[Length (cm)]]/100)*Table1[[#This Row],[Quantity]])</f>
        <v>0.99825000000000008</v>
      </c>
      <c r="M36">
        <f>IF(Table1[[#This Row],[Volume (m³)]]="","",Table1[[#This Row],[Volume (m³)]]*Table1[[#This Row],[Price / m³]])</f>
        <v>20763.600000000002</v>
      </c>
      <c r="N36">
        <v>20800</v>
      </c>
      <c r="O36">
        <v>20800</v>
      </c>
      <c r="P36" t="s">
        <v>288</v>
      </c>
      <c r="Q36">
        <v>19125</v>
      </c>
      <c r="R36" s="10">
        <f>Table1[[#This Row],[سعر المتر علينا]]*Table1[[#This Row],[Volume (m³)]]</f>
        <v>19091.53125</v>
      </c>
    </row>
    <row r="37" spans="1:18" x14ac:dyDescent="0.3">
      <c r="A37" t="s">
        <v>16</v>
      </c>
      <c r="B37" s="3">
        <v>46180</v>
      </c>
      <c r="C37" t="s">
        <v>269</v>
      </c>
      <c r="D37" t="str">
        <f>IF(Table1[[#This Row],[Customer Name]]="", "",_xlfn.XLOOKUP(C37,Table7[Customer Name],Table7[Customer ID]," "))</f>
        <v>C-009</v>
      </c>
      <c r="E37" t="s">
        <v>278</v>
      </c>
      <c r="F37" t="s">
        <v>283</v>
      </c>
      <c r="G37">
        <v>10</v>
      </c>
      <c r="H37">
        <v>2.5</v>
      </c>
      <c r="I37">
        <v>21000</v>
      </c>
      <c r="J37">
        <v>90</v>
      </c>
      <c r="K37">
        <v>130</v>
      </c>
      <c r="L37">
        <f>IF(OR(Table1[[#This Row],[Quantity]]="",Table1[[#This Row],[Length (cm)]]=""),"",(Table1[[#This Row],[Width (cm)]]/100)*(Table1[[#This Row],[Thickness (cm)]]/100)*(Table1[[#This Row],[Length (cm)]]/100)*Table1[[#This Row],[Quantity]])</f>
        <v>0.29250000000000009</v>
      </c>
      <c r="M37">
        <f>IF(Table1[[#This Row],[Volume (m³)]]="","",Table1[[#This Row],[Volume (m³)]]*Table1[[#This Row],[Price / m³]])</f>
        <v>6142.5000000000018</v>
      </c>
      <c r="N37">
        <v>6000</v>
      </c>
      <c r="O37">
        <v>6000</v>
      </c>
      <c r="P37" t="s">
        <v>288</v>
      </c>
      <c r="Q37">
        <v>19125</v>
      </c>
      <c r="R37" s="10">
        <f>Table1[[#This Row],[سعر المتر علينا]]*Table1[[#This Row],[Volume (m³)]]</f>
        <v>5594.0625000000018</v>
      </c>
    </row>
    <row r="38" spans="1:18" x14ac:dyDescent="0.3">
      <c r="A38" t="s">
        <v>16</v>
      </c>
      <c r="B38" s="3">
        <v>46180</v>
      </c>
      <c r="C38" t="s">
        <v>269</v>
      </c>
      <c r="D38" t="str">
        <f>IF(Table1[[#This Row],[Customer Name]]="", "",_xlfn.XLOOKUP(C38,Table7[Customer Name],Table7[Customer ID]," "))</f>
        <v>C-009</v>
      </c>
      <c r="E38" t="s">
        <v>278</v>
      </c>
      <c r="F38" t="s">
        <v>282</v>
      </c>
      <c r="G38">
        <v>10</v>
      </c>
      <c r="H38">
        <v>2.5</v>
      </c>
      <c r="I38">
        <v>21000</v>
      </c>
      <c r="J38">
        <v>510</v>
      </c>
      <c r="K38">
        <v>8</v>
      </c>
      <c r="L38">
        <f>IF(OR(Table1[[#This Row],[Quantity]]="",Table1[[#This Row],[Length (cm)]]=""),"",(Table1[[#This Row],[Width (cm)]]/100)*(Table1[[#This Row],[Thickness (cm)]]/100)*(Table1[[#This Row],[Length (cm)]]/100)*Table1[[#This Row],[Quantity]])</f>
        <v>0.10200000000000001</v>
      </c>
      <c r="M38">
        <f>IF(Table1[[#This Row],[Volume (m³)]]="","",Table1[[#This Row],[Volume (m³)]]*Table1[[#This Row],[Price / m³]])</f>
        <v>2142</v>
      </c>
      <c r="N38">
        <v>2000</v>
      </c>
      <c r="O38">
        <v>2000</v>
      </c>
      <c r="P38" t="s">
        <v>288</v>
      </c>
      <c r="Q38">
        <v>19125</v>
      </c>
      <c r="R38" s="10">
        <f>Table1[[#This Row],[سعر المتر علينا]]*Table1[[#This Row],[Volume (m³)]]</f>
        <v>1950.7500000000002</v>
      </c>
    </row>
    <row r="39" spans="1:18" x14ac:dyDescent="0.3">
      <c r="A39" t="s">
        <v>17</v>
      </c>
      <c r="B39" s="3">
        <v>46182</v>
      </c>
      <c r="C39" t="s">
        <v>223</v>
      </c>
      <c r="D39" t="str">
        <f>IF(Table1[[#This Row],[Customer Name]]="", "",_xlfn.XLOOKUP(C39,Table7[Customer Name],Table7[Customer ID]," "))</f>
        <v>C-003</v>
      </c>
      <c r="E39" t="s">
        <v>278</v>
      </c>
      <c r="F39" t="s">
        <v>282</v>
      </c>
      <c r="G39">
        <v>10</v>
      </c>
      <c r="H39">
        <v>2.5</v>
      </c>
      <c r="I39">
        <v>19600</v>
      </c>
      <c r="J39">
        <v>300</v>
      </c>
      <c r="K39">
        <v>133</v>
      </c>
      <c r="L39">
        <f>IF(OR(Table1[[#This Row],[Quantity]]="",Table1[[#This Row],[Length (cm)]]=""),"",(Table1[[#This Row],[Width (cm)]]/100)*(Table1[[#This Row],[Thickness (cm)]]/100)*(Table1[[#This Row],[Length (cm)]]/100)*Table1[[#This Row],[Quantity]])</f>
        <v>0.99750000000000016</v>
      </c>
      <c r="M39">
        <f>IF(Table1[[#This Row],[Volume (m³)]]="","",Table1[[#This Row],[Volume (m³)]]*Table1[[#This Row],[Price / m³]])</f>
        <v>19551.000000000004</v>
      </c>
      <c r="N39">
        <v>19550</v>
      </c>
      <c r="O39">
        <v>0</v>
      </c>
      <c r="P39" t="s">
        <v>286</v>
      </c>
      <c r="Q39">
        <v>19125</v>
      </c>
      <c r="R39" s="10">
        <f>Table1[[#This Row],[سعر المتر علينا]]*Table1[[#This Row],[Volume (m³)]]</f>
        <v>19077.187500000004</v>
      </c>
    </row>
    <row r="40" spans="1:18" x14ac:dyDescent="0.3">
      <c r="A40" t="s">
        <v>17</v>
      </c>
      <c r="B40" s="3">
        <v>46182</v>
      </c>
      <c r="C40" t="s">
        <v>223</v>
      </c>
      <c r="D40" t="str">
        <f>IF(Table1[[#This Row],[Customer Name]]="", "",_xlfn.XLOOKUP(C40,Table7[Customer Name],Table7[Customer ID]," "))</f>
        <v>C-003</v>
      </c>
      <c r="E40" t="s">
        <v>278</v>
      </c>
      <c r="F40" t="s">
        <v>282</v>
      </c>
      <c r="G40">
        <v>10</v>
      </c>
      <c r="H40">
        <v>2.5</v>
      </c>
      <c r="I40">
        <v>19600</v>
      </c>
      <c r="J40">
        <v>330</v>
      </c>
      <c r="K40">
        <v>90</v>
      </c>
      <c r="L40">
        <f>IF(OR(Table1[[#This Row],[Quantity]]="",Table1[[#This Row],[Length (cm)]]=""),"",(Table1[[#This Row],[Width (cm)]]/100)*(Table1[[#This Row],[Thickness (cm)]]/100)*(Table1[[#This Row],[Length (cm)]]/100)*Table1[[#This Row],[Quantity]])</f>
        <v>0.74250000000000005</v>
      </c>
      <c r="M40">
        <f>IF(Table1[[#This Row],[Volume (m³)]]="","",Table1[[#This Row],[Volume (m³)]]*Table1[[#This Row],[Price / m³]])</f>
        <v>14553.000000000002</v>
      </c>
      <c r="N40">
        <v>14600</v>
      </c>
      <c r="O40">
        <v>0</v>
      </c>
      <c r="P40" t="s">
        <v>285</v>
      </c>
      <c r="Q40">
        <v>19125</v>
      </c>
      <c r="R40" s="10">
        <f>Table1[[#This Row],[سعر المتر علينا]]*Table1[[#This Row],[Volume (m³)]]</f>
        <v>14200.312500000002</v>
      </c>
    </row>
    <row r="41" spans="1:18" x14ac:dyDescent="0.3">
      <c r="A41" t="s">
        <v>17</v>
      </c>
      <c r="B41" s="3">
        <v>46182</v>
      </c>
      <c r="C41" t="s">
        <v>223</v>
      </c>
      <c r="D41" t="str">
        <f>IF(Table1[[#This Row],[Customer Name]]="", "",_xlfn.XLOOKUP(C41,Table7[Customer Name],Table7[Customer ID]," "))</f>
        <v>C-003</v>
      </c>
      <c r="E41" t="s">
        <v>278</v>
      </c>
      <c r="F41" t="s">
        <v>282</v>
      </c>
      <c r="G41">
        <v>12.5</v>
      </c>
      <c r="H41">
        <v>2.5</v>
      </c>
      <c r="I41">
        <v>17000</v>
      </c>
      <c r="J41">
        <v>330</v>
      </c>
      <c r="K41">
        <v>121</v>
      </c>
      <c r="L41">
        <f>IF(OR(Table1[[#This Row],[Quantity]]="",Table1[[#This Row],[Length (cm)]]=""),"",(Table1[[#This Row],[Width (cm)]]/100)*(Table1[[#This Row],[Thickness (cm)]]/100)*(Table1[[#This Row],[Length (cm)]]/100)*Table1[[#This Row],[Quantity]])</f>
        <v>1.2478125</v>
      </c>
      <c r="M41">
        <f>IF(Table1[[#This Row],[Volume (m³)]]="","",Table1[[#This Row],[Volume (m³)]]*Table1[[#This Row],[Price / m³]])</f>
        <v>21212.8125</v>
      </c>
      <c r="N41">
        <v>21220</v>
      </c>
      <c r="O41">
        <v>0</v>
      </c>
      <c r="P41" t="s">
        <v>286</v>
      </c>
      <c r="Q41">
        <v>19125</v>
      </c>
      <c r="R41" s="10">
        <f>Table1[[#This Row],[سعر المتر علينا]]*Table1[[#This Row],[Volume (m³)]]</f>
        <v>23864.4140625</v>
      </c>
    </row>
    <row r="42" spans="1:18" x14ac:dyDescent="0.3">
      <c r="A42" t="s">
        <v>17</v>
      </c>
      <c r="B42" s="3">
        <v>46182</v>
      </c>
      <c r="C42" t="s">
        <v>223</v>
      </c>
      <c r="D42" t="str">
        <f>IF(Table1[[#This Row],[Customer Name]]="", "",_xlfn.XLOOKUP(C42,Table7[Customer Name],Table7[Customer ID]," "))</f>
        <v>C-003</v>
      </c>
      <c r="E42" t="s">
        <v>278</v>
      </c>
      <c r="F42" t="s">
        <v>282</v>
      </c>
      <c r="G42">
        <v>10</v>
      </c>
      <c r="H42">
        <v>2.5</v>
      </c>
      <c r="I42">
        <v>19600</v>
      </c>
      <c r="J42">
        <v>360</v>
      </c>
      <c r="K42">
        <v>114</v>
      </c>
      <c r="L42">
        <f>IF(OR(Table1[[#This Row],[Quantity]]="",Table1[[#This Row],[Length (cm)]]=""),"",(Table1[[#This Row],[Width (cm)]]/100)*(Table1[[#This Row],[Thickness (cm)]]/100)*(Table1[[#This Row],[Length (cm)]]/100)*Table1[[#This Row],[Quantity]])</f>
        <v>1.0260000000000002</v>
      </c>
      <c r="M42">
        <f>IF(Table1[[#This Row],[Volume (m³)]]="","",Table1[[#This Row],[Volume (m³)]]*Table1[[#This Row],[Price / m³]])</f>
        <v>20109.600000000006</v>
      </c>
      <c r="N42">
        <v>20130</v>
      </c>
      <c r="O42">
        <v>0</v>
      </c>
      <c r="P42" t="s">
        <v>286</v>
      </c>
      <c r="Q42">
        <v>19125</v>
      </c>
      <c r="R42" s="10">
        <f>Table1[[#This Row],[سعر المتر علينا]]*Table1[[#This Row],[Volume (m³)]]</f>
        <v>19622.250000000004</v>
      </c>
    </row>
    <row r="43" spans="1:18" x14ac:dyDescent="0.3">
      <c r="A43" t="s">
        <v>18</v>
      </c>
      <c r="B43" s="3">
        <v>46182</v>
      </c>
      <c r="C43" t="s">
        <v>270</v>
      </c>
      <c r="D43" t="str">
        <f>IF(Table1[[#This Row],[Customer Name]]="", "",_xlfn.XLOOKUP(C43,Table7[Customer Name],Table7[Customer ID]," "))</f>
        <v>C-011</v>
      </c>
      <c r="E43" t="s">
        <v>278</v>
      </c>
      <c r="F43" t="s">
        <v>282</v>
      </c>
      <c r="G43">
        <v>10</v>
      </c>
      <c r="H43">
        <v>2.5</v>
      </c>
      <c r="I43">
        <v>21800</v>
      </c>
      <c r="J43">
        <v>510</v>
      </c>
      <c r="K43">
        <v>10</v>
      </c>
      <c r="L43">
        <f>IF(OR(Table1[[#This Row],[Quantity]]="",Table1[[#This Row],[Length (cm)]]=""),"",(Table1[[#This Row],[Width (cm)]]/100)*(Table1[[#This Row],[Thickness (cm)]]/100)*(Table1[[#This Row],[Length (cm)]]/100)*Table1[[#This Row],[Quantity]])</f>
        <v>0.1275</v>
      </c>
      <c r="M43">
        <f>IF(Table1[[#This Row],[Volume (m³)]]="","",Table1[[#This Row],[Volume (m³)]]*Table1[[#This Row],[Price / m³]])</f>
        <v>2779.5</v>
      </c>
      <c r="N43">
        <v>2659</v>
      </c>
      <c r="O43">
        <v>2650</v>
      </c>
      <c r="P43" t="s">
        <v>288</v>
      </c>
      <c r="Q43">
        <v>19125</v>
      </c>
      <c r="R43" s="10">
        <f>Table1[[#This Row],[سعر المتر علينا]]*Table1[[#This Row],[Volume (m³)]]</f>
        <v>2438.4375</v>
      </c>
    </row>
    <row r="44" spans="1:18" ht="12.75" customHeight="1" x14ac:dyDescent="0.3">
      <c r="A44" t="s">
        <v>19</v>
      </c>
      <c r="B44" s="3">
        <v>46183</v>
      </c>
      <c r="C44" t="s">
        <v>240</v>
      </c>
      <c r="D44" t="str">
        <f>IF(Table1[[#This Row],[Customer Name]]="", "",_xlfn.XLOOKUP(C44,Table7[Customer Name],Table7[Customer ID]," "))</f>
        <v>C-027</v>
      </c>
      <c r="E44" t="s">
        <v>278</v>
      </c>
      <c r="F44" t="s">
        <v>283</v>
      </c>
      <c r="G44">
        <v>10</v>
      </c>
      <c r="H44">
        <v>2.5</v>
      </c>
      <c r="I44">
        <v>21000</v>
      </c>
      <c r="J44">
        <v>180</v>
      </c>
      <c r="K44">
        <v>3</v>
      </c>
      <c r="L44">
        <f>IF(OR(Table1[[#This Row],[Quantity]]="",Table1[[#This Row],[Length (cm)]]=""),"",(Table1[[#This Row],[Width (cm)]]/100)*(Table1[[#This Row],[Thickness (cm)]]/100)*(Table1[[#This Row],[Length (cm)]]/100)*Table1[[#This Row],[Quantity]])</f>
        <v>1.3500000000000005E-2</v>
      </c>
      <c r="M44">
        <f>IF(Table1[[#This Row],[Volume (m³)]]="","",Table1[[#This Row],[Volume (m³)]]*Table1[[#This Row],[Price / m³]])</f>
        <v>283.50000000000011</v>
      </c>
      <c r="N44">
        <v>300</v>
      </c>
      <c r="O44">
        <v>0</v>
      </c>
      <c r="P44" t="s">
        <v>287</v>
      </c>
      <c r="Q44">
        <v>19125</v>
      </c>
      <c r="R44" s="10">
        <f>Table1[[#This Row],[سعر المتر علينا]]*Table1[[#This Row],[Volume (m³)]]</f>
        <v>258.18750000000011</v>
      </c>
    </row>
    <row r="45" spans="1:18" ht="12.75" customHeight="1" x14ac:dyDescent="0.3">
      <c r="A45" t="s">
        <v>19</v>
      </c>
      <c r="B45" s="3">
        <v>46183</v>
      </c>
      <c r="C45" t="s">
        <v>240</v>
      </c>
      <c r="D45" t="str">
        <f>IF(Table1[[#This Row],[Customer Name]]="", "",_xlfn.XLOOKUP(C45,Table7[Customer Name],Table7[Customer ID]," "))</f>
        <v>C-027</v>
      </c>
      <c r="E45" t="s">
        <v>280</v>
      </c>
      <c r="F45" t="s">
        <v>284</v>
      </c>
      <c r="G45">
        <v>7.5</v>
      </c>
      <c r="H45">
        <v>7.5</v>
      </c>
      <c r="I45">
        <v>22750</v>
      </c>
      <c r="J45">
        <v>300</v>
      </c>
      <c r="K45">
        <v>60</v>
      </c>
      <c r="L45">
        <f>IF(OR(Table1[[#This Row],[Quantity]]="",Table1[[#This Row],[Length (cm)]]=""),"",(Table1[[#This Row],[Width (cm)]]/100)*(Table1[[#This Row],[Thickness (cm)]]/100)*(Table1[[#This Row],[Length (cm)]]/100)*Table1[[#This Row],[Quantity]])</f>
        <v>1.0125000000000002</v>
      </c>
      <c r="M45">
        <f>IF(Table1[[#This Row],[Volume (m³)]]="","",Table1[[#This Row],[Volume (m³)]]*Table1[[#This Row],[Price / m³]])</f>
        <v>23034.375000000004</v>
      </c>
      <c r="N45">
        <v>22000</v>
      </c>
      <c r="O45">
        <v>22000</v>
      </c>
      <c r="P45" t="s">
        <v>286</v>
      </c>
      <c r="Q45">
        <v>19125</v>
      </c>
      <c r="R45" s="10">
        <f>Table1[[#This Row],[سعر المتر علينا]]*Table1[[#This Row],[Volume (m³)]]</f>
        <v>19364.062500000004</v>
      </c>
    </row>
    <row r="46" spans="1:18" x14ac:dyDescent="0.3">
      <c r="A46" t="s">
        <v>19</v>
      </c>
      <c r="B46" s="3">
        <v>46183</v>
      </c>
      <c r="C46" t="s">
        <v>240</v>
      </c>
      <c r="D46" t="str">
        <f>IF(Table1[[#This Row],[Customer Name]]="", "",_xlfn.XLOOKUP(C46,Table7[Customer Name],Table7[Customer ID]," "))</f>
        <v>C-027</v>
      </c>
      <c r="E46" t="s">
        <v>280</v>
      </c>
      <c r="F46" t="s">
        <v>284</v>
      </c>
      <c r="G46">
        <v>9</v>
      </c>
      <c r="H46">
        <v>7</v>
      </c>
      <c r="I46">
        <v>22750</v>
      </c>
      <c r="J46">
        <v>300</v>
      </c>
      <c r="K46">
        <v>53</v>
      </c>
      <c r="L46">
        <f>IF(OR(Table1[[#This Row],[Quantity]]="",Table1[[#This Row],[Length (cm)]]=""),"",(Table1[[#This Row],[Width (cm)]]/100)*(Table1[[#This Row],[Thickness (cm)]]/100)*(Table1[[#This Row],[Length (cm)]]/100)*Table1[[#This Row],[Quantity]])</f>
        <v>1.0017</v>
      </c>
      <c r="M46">
        <f>IF(Table1[[#This Row],[Volume (m³)]]="","",Table1[[#This Row],[Volume (m³)]]*Table1[[#This Row],[Price / m³]])</f>
        <v>22788.674999999999</v>
      </c>
      <c r="N46">
        <v>21800</v>
      </c>
      <c r="O46">
        <v>8000</v>
      </c>
      <c r="P46" t="s">
        <v>285</v>
      </c>
      <c r="Q46">
        <v>19125</v>
      </c>
      <c r="R46" s="10">
        <f>Table1[[#This Row],[سعر المتر علينا]]*Table1[[#This Row],[Volume (m³)]]</f>
        <v>19157.512500000001</v>
      </c>
    </row>
    <row r="47" spans="1:18" x14ac:dyDescent="0.3">
      <c r="A47" t="s">
        <v>20</v>
      </c>
      <c r="B47" s="3">
        <v>46183</v>
      </c>
      <c r="C47" t="s">
        <v>239</v>
      </c>
      <c r="D47" t="str">
        <f>IF(Table1[[#This Row],[Customer Name]]="", "",_xlfn.XLOOKUP(C47,Table7[Customer Name],Table7[Customer ID]," "))</f>
        <v>C-025</v>
      </c>
      <c r="E47" t="s">
        <v>278</v>
      </c>
      <c r="F47" t="s">
        <v>282</v>
      </c>
      <c r="G47">
        <v>10</v>
      </c>
      <c r="H47">
        <v>2.5</v>
      </c>
      <c r="I47">
        <v>21000</v>
      </c>
      <c r="J47">
        <v>300</v>
      </c>
      <c r="K47">
        <v>10</v>
      </c>
      <c r="L47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7.5000000000000011E-2</v>
      </c>
      <c r="M47">
        <f>IF(Table1[[#This Row],[Volume (m³)]]="","",Table1[[#This Row],[Volume (m³)]]*Table1[[#This Row],[Price / m³]])</f>
        <v>1575.0000000000002</v>
      </c>
      <c r="N47">
        <v>1730</v>
      </c>
      <c r="O47">
        <v>1730</v>
      </c>
      <c r="P47" t="s">
        <v>288</v>
      </c>
      <c r="Q47">
        <v>19125</v>
      </c>
      <c r="R47" s="10">
        <f>Table1[[#This Row],[سعر المتر علينا]]*Table1[[#This Row],[Volume (m³)]]</f>
        <v>1434.3750000000002</v>
      </c>
    </row>
    <row r="48" spans="1:18" x14ac:dyDescent="0.3">
      <c r="A48" t="s">
        <v>21</v>
      </c>
      <c r="B48" s="3">
        <v>46183</v>
      </c>
      <c r="C48" t="s">
        <v>229</v>
      </c>
      <c r="D48" t="str">
        <f>IF(Table1[[#This Row],[Customer Name]]="", "",_xlfn.XLOOKUP(C48,Table7[Customer Name],Table7[Customer ID]," "))</f>
        <v>C-016</v>
      </c>
      <c r="E48" t="s">
        <v>278</v>
      </c>
      <c r="F48" t="s">
        <v>282</v>
      </c>
      <c r="G48">
        <v>10</v>
      </c>
      <c r="H48">
        <v>2.5</v>
      </c>
      <c r="I48">
        <v>21000</v>
      </c>
      <c r="J48">
        <v>300</v>
      </c>
      <c r="K48">
        <v>50</v>
      </c>
      <c r="L48">
        <f>IF(OR(Table1[[#This Row],[Quantity]]="",Table1[[#This Row],[Length (cm)]]=""),"",(Table1[[#This Row],[Width (cm)]]/100)*(Table1[[#This Row],[Thickness (cm)]]/100)*(Table1[[#This Row],[Length (cm)]]/100)*Table1[[#This Row],[Quantity]])</f>
        <v>0.37500000000000006</v>
      </c>
      <c r="M48">
        <f>IF(Table1[[#This Row],[Volume (m³)]]="","",Table1[[#This Row],[Volume (m³)]]*Table1[[#This Row],[Price / m³]])</f>
        <v>7875.0000000000009</v>
      </c>
      <c r="N48">
        <v>7850</v>
      </c>
      <c r="O48">
        <v>7850</v>
      </c>
      <c r="P48" t="s">
        <v>289</v>
      </c>
      <c r="Q48">
        <v>19125</v>
      </c>
      <c r="R48" s="10">
        <f>Table1[[#This Row],[سعر المتر علينا]]*Table1[[#This Row],[Volume (m³)]]</f>
        <v>7171.8750000000009</v>
      </c>
    </row>
    <row r="49" spans="1:18" x14ac:dyDescent="0.3">
      <c r="A49" t="s">
        <v>22</v>
      </c>
      <c r="B49" s="3">
        <v>46184</v>
      </c>
      <c r="C49" t="s">
        <v>267</v>
      </c>
      <c r="D49" t="str">
        <f>IF(Table1[[#This Row],[Customer Name]]="", "",_xlfn.XLOOKUP(C49,Table7[Customer Name],Table7[Customer ID]," "))</f>
        <v>C-006</v>
      </c>
      <c r="E49" t="s">
        <v>278</v>
      </c>
      <c r="F49" t="s">
        <v>282</v>
      </c>
      <c r="G49">
        <v>10</v>
      </c>
      <c r="H49">
        <v>2.5</v>
      </c>
      <c r="I49">
        <v>21000</v>
      </c>
      <c r="J49">
        <v>360</v>
      </c>
      <c r="K49">
        <v>111</v>
      </c>
      <c r="L49">
        <f>IF(OR(Table1[[#This Row],[Quantity]]="",Table1[[#This Row],[Length (cm)]]=""),"",(Table1[[#This Row],[Width (cm)]]/100)*(Table1[[#This Row],[Thickness (cm)]]/100)*(Table1[[#This Row],[Length (cm)]]/100)*Table1[[#This Row],[Quantity]])</f>
        <v>0.99900000000000033</v>
      </c>
      <c r="M49">
        <f>IF(Table1[[#This Row],[Volume (m³)]]="","",Table1[[#This Row],[Volume (m³)]]*Table1[[#This Row],[Price / m³]])</f>
        <v>20979.000000000007</v>
      </c>
      <c r="N49">
        <v>21000</v>
      </c>
      <c r="O49">
        <v>10150</v>
      </c>
      <c r="P49" t="s">
        <v>285</v>
      </c>
      <c r="Q49">
        <v>19125</v>
      </c>
      <c r="R49" s="10">
        <f>Table1[[#This Row],[سعر المتر علينا]]*Table1[[#This Row],[Volume (m³)]]</f>
        <v>19105.875000000007</v>
      </c>
    </row>
    <row r="50" spans="1:18" x14ac:dyDescent="0.3">
      <c r="A50" t="s">
        <v>23</v>
      </c>
      <c r="B50" s="3">
        <v>46184</v>
      </c>
      <c r="C50" t="s">
        <v>226</v>
      </c>
      <c r="D50" t="str">
        <f>IF(Table1[[#This Row],[Customer Name]]="", "",_xlfn.XLOOKUP(C50,Table7[Customer Name],Table7[Customer ID]," "))</f>
        <v>C-012</v>
      </c>
      <c r="E50" t="s">
        <v>278</v>
      </c>
      <c r="F50" t="s">
        <v>283</v>
      </c>
      <c r="G50">
        <v>10</v>
      </c>
      <c r="H50">
        <v>2.5</v>
      </c>
      <c r="I50">
        <v>21000</v>
      </c>
      <c r="J50">
        <v>90</v>
      </c>
      <c r="K50">
        <v>40</v>
      </c>
      <c r="L50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9.0000000000000024E-2</v>
      </c>
      <c r="M50">
        <f>IF(Table1[[#This Row],[Volume (m³)]]="","",Table1[[#This Row],[Volume (m³)]]*Table1[[#This Row],[Price / m³]])</f>
        <v>1890.0000000000005</v>
      </c>
      <c r="N50">
        <v>1900</v>
      </c>
      <c r="O50">
        <v>1900</v>
      </c>
      <c r="P50" t="s">
        <v>288</v>
      </c>
      <c r="Q50">
        <v>19125</v>
      </c>
      <c r="R50" s="10">
        <f>Table1[[#This Row],[سعر المتر علينا]]*Table1[[#This Row],[Volume (m³)]]</f>
        <v>1721.2500000000005</v>
      </c>
    </row>
    <row r="51" spans="1:18" x14ac:dyDescent="0.3">
      <c r="A51" t="s">
        <v>23</v>
      </c>
      <c r="B51" s="3">
        <v>46184</v>
      </c>
      <c r="C51" t="s">
        <v>226</v>
      </c>
      <c r="D51" t="str">
        <f>IF(Table1[[#This Row],[Customer Name]]="", "",_xlfn.XLOOKUP(C51,Table7[Customer Name],Table7[Customer ID]," "))</f>
        <v>C-012</v>
      </c>
      <c r="E51" t="s">
        <v>278</v>
      </c>
      <c r="F51" t="s">
        <v>283</v>
      </c>
      <c r="G51">
        <v>10</v>
      </c>
      <c r="H51">
        <v>2.5</v>
      </c>
      <c r="I51">
        <v>21000</v>
      </c>
      <c r="J51">
        <v>120</v>
      </c>
      <c r="K51">
        <v>50</v>
      </c>
      <c r="L51">
        <f>IF(OR(Table1[[#This Row],[Quantity]]="",Table1[[#This Row],[Length (cm)]]=""),"",(Table1[[#This Row],[Width (cm)]]/100)*(Table1[[#This Row],[Thickness (cm)]]/100)*(Table1[[#This Row],[Length (cm)]]/100)*Table1[[#This Row],[Quantity]])</f>
        <v>0.15000000000000002</v>
      </c>
      <c r="M51">
        <f>IF(Table1[[#This Row],[Volume (m³)]]="","",Table1[[#This Row],[Volume (m³)]]*Table1[[#This Row],[Price / m³]])</f>
        <v>3150.0000000000005</v>
      </c>
      <c r="N51">
        <v>3150</v>
      </c>
      <c r="O51">
        <v>3150</v>
      </c>
      <c r="P51" t="s">
        <v>289</v>
      </c>
      <c r="Q51">
        <v>19125</v>
      </c>
      <c r="R51" s="10">
        <f>Table1[[#This Row],[سعر المتر علينا]]*Table1[[#This Row],[Volume (m³)]]</f>
        <v>2868.7500000000005</v>
      </c>
    </row>
    <row r="52" spans="1:18" x14ac:dyDescent="0.3">
      <c r="A52" t="s">
        <v>23</v>
      </c>
      <c r="B52" s="3">
        <v>46184</v>
      </c>
      <c r="C52" t="s">
        <v>226</v>
      </c>
      <c r="D52" t="str">
        <f>IF(Table1[[#This Row],[Customer Name]]="", "",_xlfn.XLOOKUP(C52,Table7[Customer Name],Table7[Customer ID]," "))</f>
        <v>C-012</v>
      </c>
      <c r="E52" t="s">
        <v>278</v>
      </c>
      <c r="F52" t="s">
        <v>283</v>
      </c>
      <c r="G52">
        <v>10</v>
      </c>
      <c r="H52">
        <v>2.5</v>
      </c>
      <c r="I52">
        <v>21000</v>
      </c>
      <c r="J52">
        <v>150</v>
      </c>
      <c r="K52">
        <v>50</v>
      </c>
      <c r="L52">
        <f>IF(OR(Table1[[#This Row],[Quantity]]="",Table1[[#This Row],[Length (cm)]]=""),"",(Table1[[#This Row],[Width (cm)]]/100)*(Table1[[#This Row],[Thickness (cm)]]/100)*(Table1[[#This Row],[Length (cm)]]/100)*Table1[[#This Row],[Quantity]])</f>
        <v>0.18750000000000003</v>
      </c>
      <c r="M52">
        <f>IF(Table1[[#This Row],[Volume (m³)]]="","",Table1[[#This Row],[Volume (m³)]]*Table1[[#This Row],[Price / m³]])</f>
        <v>3937.5000000000005</v>
      </c>
      <c r="N52">
        <v>3950</v>
      </c>
      <c r="O52">
        <v>3950</v>
      </c>
      <c r="P52" t="s">
        <v>289</v>
      </c>
      <c r="Q52">
        <v>19125</v>
      </c>
      <c r="R52" s="10">
        <f>Table1[[#This Row],[سعر المتر علينا]]*Table1[[#This Row],[Volume (m³)]]</f>
        <v>3585.9375000000005</v>
      </c>
    </row>
    <row r="53" spans="1:18" x14ac:dyDescent="0.3">
      <c r="A53" t="s">
        <v>24</v>
      </c>
      <c r="B53" s="3">
        <v>46186</v>
      </c>
      <c r="C53" t="s">
        <v>222</v>
      </c>
      <c r="D53" t="str">
        <f>IF(Table1[[#This Row],[Customer Name]]="", "",_xlfn.XLOOKUP(C53,Table7[Customer Name],Table7[Customer ID]," "))</f>
        <v>C-001</v>
      </c>
      <c r="E53" t="s">
        <v>278</v>
      </c>
      <c r="F53" t="s">
        <v>283</v>
      </c>
      <c r="G53">
        <v>10</v>
      </c>
      <c r="H53">
        <v>2.5</v>
      </c>
      <c r="I53">
        <v>21000</v>
      </c>
      <c r="J53">
        <v>180</v>
      </c>
      <c r="K53">
        <v>30</v>
      </c>
      <c r="L53">
        <f>IF(OR(Table1[[#This Row],[Quantity]]="",Table1[[#This Row],[Length (cm)]]=""),"",(Table1[[#This Row],[Width (cm)]]/100)*(Table1[[#This Row],[Thickness (cm)]]/100)*(Table1[[#This Row],[Length (cm)]]/100)*Table1[[#This Row],[Quantity]])</f>
        <v>0.13500000000000004</v>
      </c>
      <c r="M53">
        <f>IF(Table1[[#This Row],[Volume (m³)]]="","",Table1[[#This Row],[Volume (m³)]]*Table1[[#This Row],[Price / m³]])</f>
        <v>2835.0000000000009</v>
      </c>
      <c r="N53">
        <v>2835</v>
      </c>
      <c r="O53">
        <v>2835</v>
      </c>
      <c r="P53" t="s">
        <v>289</v>
      </c>
      <c r="Q53">
        <v>19125</v>
      </c>
      <c r="R53" s="10">
        <f>Table1[[#This Row],[سعر المتر علينا]]*Table1[[#This Row],[Volume (m³)]]</f>
        <v>2581.8750000000009</v>
      </c>
    </row>
    <row r="54" spans="1:18" x14ac:dyDescent="0.3">
      <c r="A54" t="s">
        <v>24</v>
      </c>
      <c r="B54" s="3">
        <v>46186</v>
      </c>
      <c r="C54" t="s">
        <v>222</v>
      </c>
      <c r="D54" t="str">
        <f>IF(Table1[[#This Row],[Customer Name]]="", "",_xlfn.XLOOKUP(C54,Table7[Customer Name],Table7[Customer ID]," "))</f>
        <v>C-001</v>
      </c>
      <c r="E54" t="s">
        <v>281</v>
      </c>
      <c r="F54" t="s">
        <v>284</v>
      </c>
      <c r="G54">
        <v>7.5</v>
      </c>
      <c r="H54">
        <v>7.5</v>
      </c>
      <c r="I54">
        <v>16000</v>
      </c>
      <c r="J54">
        <v>300</v>
      </c>
      <c r="K54">
        <v>30</v>
      </c>
      <c r="L54">
        <f>IF(OR(Table1[[#This Row],[Quantity]]="",Table1[[#This Row],[Length (cm)]]=""),"",(Table1[[#This Row],[Width (cm)]]/100)*(Table1[[#This Row],[Thickness (cm)]]/100)*(Table1[[#This Row],[Length (cm)]]/100)*Table1[[#This Row],[Quantity]])</f>
        <v>0.50625000000000009</v>
      </c>
      <c r="M54">
        <f>IF(Table1[[#This Row],[Volume (m³)]]="","",Table1[[#This Row],[Volume (m³)]]*Table1[[#This Row],[Price / m³]])</f>
        <v>8100.0000000000018</v>
      </c>
      <c r="N54">
        <v>8100</v>
      </c>
      <c r="O54">
        <v>8100</v>
      </c>
      <c r="P54" t="s">
        <v>289</v>
      </c>
      <c r="Q54">
        <v>19125</v>
      </c>
      <c r="R54" s="10">
        <f>Table1[[#This Row],[سعر المتر علينا]]*Table1[[#This Row],[Volume (m³)]]</f>
        <v>9682.0312500000018</v>
      </c>
    </row>
    <row r="55" spans="1:18" x14ac:dyDescent="0.3">
      <c r="A55" t="s">
        <v>24</v>
      </c>
      <c r="B55" s="3">
        <v>46186</v>
      </c>
      <c r="C55" t="s">
        <v>222</v>
      </c>
      <c r="D55" t="str">
        <f>IF(Table1[[#This Row],[Customer Name]]="", "",_xlfn.XLOOKUP(C55,Table7[Customer Name],Table7[Customer ID]," "))</f>
        <v>C-001</v>
      </c>
      <c r="E55" t="s">
        <v>279</v>
      </c>
      <c r="F55" t="s">
        <v>282</v>
      </c>
      <c r="G55">
        <v>10</v>
      </c>
      <c r="H55">
        <v>2.5</v>
      </c>
      <c r="I55">
        <v>21500</v>
      </c>
      <c r="J55">
        <v>390</v>
      </c>
      <c r="K55">
        <v>34</v>
      </c>
      <c r="L55">
        <f>IF(OR(Table1[[#This Row],[Quantity]]="",Table1[[#This Row],[Length (cm)]]=""),"",(Table1[[#This Row],[Width (cm)]]/100)*(Table1[[#This Row],[Thickness (cm)]]/100)*(Table1[[#This Row],[Length (cm)]]/100)*Table1[[#This Row],[Quantity]])</f>
        <v>0.33150000000000007</v>
      </c>
      <c r="M55">
        <f>IF(Table1[[#This Row],[Volume (m³)]]="","",Table1[[#This Row],[Volume (m³)]]*Table1[[#This Row],[Price / m³]])</f>
        <v>7127.2500000000018</v>
      </c>
      <c r="N55">
        <v>7125</v>
      </c>
      <c r="O55">
        <v>7125</v>
      </c>
      <c r="P55" t="s">
        <v>289</v>
      </c>
      <c r="Q55">
        <v>19125</v>
      </c>
      <c r="R55" s="10">
        <f>Table1[[#This Row],[سعر المتر علينا]]*Table1[[#This Row],[Volume (m³)]]</f>
        <v>6339.9375000000018</v>
      </c>
    </row>
    <row r="56" spans="1:18" x14ac:dyDescent="0.3">
      <c r="A56" t="s">
        <v>24</v>
      </c>
      <c r="B56" s="3">
        <v>46186</v>
      </c>
      <c r="C56" t="s">
        <v>222</v>
      </c>
      <c r="D56" t="str">
        <f>IF(Table1[[#This Row],[Customer Name]]="", "",_xlfn.XLOOKUP(C56,Table7[Customer Name],Table7[Customer ID]," "))</f>
        <v>C-001</v>
      </c>
      <c r="E56" t="s">
        <v>279</v>
      </c>
      <c r="F56" t="s">
        <v>282</v>
      </c>
      <c r="G56">
        <v>10</v>
      </c>
      <c r="H56">
        <v>2.5</v>
      </c>
      <c r="I56">
        <v>21500</v>
      </c>
      <c r="J56">
        <v>480</v>
      </c>
      <c r="K56">
        <v>30</v>
      </c>
      <c r="L56">
        <f>IF(OR(Table1[[#This Row],[Quantity]]="",Table1[[#This Row],[Length (cm)]]=""),"",(Table1[[#This Row],[Width (cm)]]/100)*(Table1[[#This Row],[Thickness (cm)]]/100)*(Table1[[#This Row],[Length (cm)]]/100)*Table1[[#This Row],[Quantity]])</f>
        <v>0.36000000000000004</v>
      </c>
      <c r="M56">
        <f>IF(Table1[[#This Row],[Volume (m³)]]="","",Table1[[#This Row],[Volume (m³)]]*Table1[[#This Row],[Price / m³]])</f>
        <v>7740.0000000000009</v>
      </c>
      <c r="N56">
        <v>7740</v>
      </c>
      <c r="O56">
        <v>7740</v>
      </c>
      <c r="P56" t="s">
        <v>289</v>
      </c>
      <c r="Q56">
        <v>19125</v>
      </c>
      <c r="R56" s="10">
        <f>Table1[[#This Row],[سعر المتر علينا]]*Table1[[#This Row],[Volume (m³)]]</f>
        <v>6885.0000000000009</v>
      </c>
    </row>
    <row r="57" spans="1:18" x14ac:dyDescent="0.3">
      <c r="A57" t="s">
        <v>25</v>
      </c>
      <c r="B57" s="3">
        <v>46187</v>
      </c>
      <c r="C57" t="s">
        <v>230</v>
      </c>
      <c r="D57" t="str">
        <f>IF(Table1[[#This Row],[Customer Name]]="", "",_xlfn.XLOOKUP(C57,Table7[Customer Name],Table7[Customer ID]," "))</f>
        <v>C-017</v>
      </c>
      <c r="E57" t="s">
        <v>279</v>
      </c>
      <c r="F57" t="s">
        <v>282</v>
      </c>
      <c r="G57">
        <v>10</v>
      </c>
      <c r="H57">
        <v>2.5</v>
      </c>
      <c r="I57">
        <v>22000</v>
      </c>
      <c r="J57">
        <v>390</v>
      </c>
      <c r="K57">
        <v>2</v>
      </c>
      <c r="L57">
        <f>IF(OR(Table1[[#This Row],[Quantity]]="",Table1[[#This Row],[Length (cm)]]=""),"",(Table1[[#This Row],[Width (cm)]]/100)*(Table1[[#This Row],[Thickness (cm)]]/100)*(Table1[[#This Row],[Length (cm)]]/100)*Table1[[#This Row],[Quantity]])</f>
        <v>1.9500000000000003E-2</v>
      </c>
      <c r="M57">
        <f>IF(Table1[[#This Row],[Volume (m³)]]="","",Table1[[#This Row],[Volume (m³)]]*Table1[[#This Row],[Price / m³]])</f>
        <v>429.00000000000006</v>
      </c>
      <c r="N57">
        <v>430</v>
      </c>
      <c r="O57">
        <v>430</v>
      </c>
      <c r="P57" t="s">
        <v>288</v>
      </c>
      <c r="Q57">
        <v>19125</v>
      </c>
      <c r="R57" s="10">
        <f>Table1[[#This Row],[سعر المتر علينا]]*Table1[[#This Row],[Volume (m³)]]</f>
        <v>372.93750000000006</v>
      </c>
    </row>
    <row r="58" spans="1:18" x14ac:dyDescent="0.3">
      <c r="A58" t="s">
        <v>26</v>
      </c>
      <c r="B58" s="3">
        <v>46188</v>
      </c>
      <c r="C58" t="s">
        <v>266</v>
      </c>
      <c r="D58" t="str">
        <f>IF(Table1[[#This Row],[Customer Name]]="", "",_xlfn.XLOOKUP(C58,Table7[Customer Name],Table7[Customer ID]," "))</f>
        <v>C-004</v>
      </c>
      <c r="E58" t="s">
        <v>278</v>
      </c>
      <c r="F58" t="s">
        <v>283</v>
      </c>
      <c r="G58">
        <v>10</v>
      </c>
      <c r="H58">
        <v>2.5</v>
      </c>
      <c r="I58">
        <v>21000</v>
      </c>
      <c r="J58">
        <v>120</v>
      </c>
      <c r="K58">
        <v>60</v>
      </c>
      <c r="L58">
        <f>IF(OR(Table1[[#This Row],[Quantity]]="",Table1[[#This Row],[Length (cm)]]=""),"",(Table1[[#This Row],[Width (cm)]]/100)*(Table1[[#This Row],[Thickness (cm)]]/100)*(Table1[[#This Row],[Length (cm)]]/100)*Table1[[#This Row],[Quantity]])</f>
        <v>0.18000000000000002</v>
      </c>
      <c r="M58">
        <f>IF(Table1[[#This Row],[Volume (m³)]]="","",Table1[[#This Row],[Volume (m³)]]*Table1[[#This Row],[Price / m³]])</f>
        <v>3780.0000000000005</v>
      </c>
      <c r="N58">
        <v>3780</v>
      </c>
      <c r="O58">
        <v>3000</v>
      </c>
      <c r="P58" t="s">
        <v>286</v>
      </c>
      <c r="Q58">
        <v>19125</v>
      </c>
      <c r="R58" s="10">
        <f>Table1[[#This Row],[سعر المتر علينا]]*Table1[[#This Row],[Volume (m³)]]</f>
        <v>3442.5000000000005</v>
      </c>
    </row>
    <row r="59" spans="1:18" x14ac:dyDescent="0.3">
      <c r="A59" t="s">
        <v>27</v>
      </c>
      <c r="B59" s="3">
        <v>46188</v>
      </c>
      <c r="C59" t="s">
        <v>240</v>
      </c>
      <c r="D59" t="str">
        <f>IF(Table1[[#This Row],[Customer Name]]="", "",_xlfn.XLOOKUP(C59,Table7[Customer Name],Table7[Customer ID]," "))</f>
        <v>C-027</v>
      </c>
      <c r="E59" t="s">
        <v>281</v>
      </c>
      <c r="F59" t="s">
        <v>284</v>
      </c>
      <c r="G59">
        <v>7.5</v>
      </c>
      <c r="H59">
        <v>7.5</v>
      </c>
      <c r="I59">
        <v>14500</v>
      </c>
      <c r="J59">
        <v>270</v>
      </c>
      <c r="K59">
        <v>155</v>
      </c>
      <c r="L59">
        <f>IF(OR(Table1[[#This Row],[Quantity]]="",Table1[[#This Row],[Length (cm)]]=""),"",(Table1[[#This Row],[Width (cm)]]/100)*(Table1[[#This Row],[Thickness (cm)]]/100)*(Table1[[#This Row],[Length (cm)]]/100)*Table1[[#This Row],[Quantity]])</f>
        <v>2.3540624999999999</v>
      </c>
      <c r="M59">
        <f>IF(Table1[[#This Row],[Volume (m³)]]="","",Table1[[#This Row],[Volume (m³)]]*Table1[[#This Row],[Price / m³]])</f>
        <v>34133.90625</v>
      </c>
      <c r="N59">
        <v>34100</v>
      </c>
      <c r="O59">
        <v>10000</v>
      </c>
      <c r="P59" t="s">
        <v>286</v>
      </c>
      <c r="Q59">
        <v>19125</v>
      </c>
      <c r="R59" s="10">
        <f>Table1[[#This Row],[سعر المتر علينا]]*Table1[[#This Row],[Volume (m³)]]</f>
        <v>45021.4453125</v>
      </c>
    </row>
    <row r="60" spans="1:18" x14ac:dyDescent="0.3">
      <c r="A60" t="s">
        <v>28</v>
      </c>
      <c r="B60" s="3">
        <v>46188</v>
      </c>
      <c r="C60" t="s">
        <v>231</v>
      </c>
      <c r="D60" t="str">
        <f>IF(Table1[[#This Row],[Customer Name]]="", "",_xlfn.XLOOKUP(C60,Table7[Customer Name],Table7[Customer ID]," "))</f>
        <v>C-018</v>
      </c>
      <c r="E60" t="s">
        <v>278</v>
      </c>
      <c r="F60" t="s">
        <v>282</v>
      </c>
      <c r="G60">
        <v>10</v>
      </c>
      <c r="H60">
        <v>2.5</v>
      </c>
      <c r="I60">
        <v>22000</v>
      </c>
      <c r="J60">
        <v>210</v>
      </c>
      <c r="K60">
        <v>50</v>
      </c>
      <c r="L60">
        <f>IF(OR(Table1[[#This Row],[Quantity]]="",Table1[[#This Row],[Length (cm)]]=""),"",(Table1[[#This Row],[Width (cm)]]/100)*(Table1[[#This Row],[Thickness (cm)]]/100)*(Table1[[#This Row],[Length (cm)]]/100)*Table1[[#This Row],[Quantity]])</f>
        <v>0.26250000000000007</v>
      </c>
      <c r="M60">
        <f>IF(Table1[[#This Row],[Volume (m³)]]="","",Table1[[#This Row],[Volume (m³)]]*Table1[[#This Row],[Price / m³]])</f>
        <v>5775.0000000000018</v>
      </c>
      <c r="N60">
        <v>5750</v>
      </c>
      <c r="O60">
        <v>5750</v>
      </c>
      <c r="P60" t="s">
        <v>289</v>
      </c>
      <c r="Q60">
        <v>19125</v>
      </c>
      <c r="R60" s="10">
        <f>Table1[[#This Row],[سعر المتر علينا]]*Table1[[#This Row],[Volume (m³)]]</f>
        <v>5020.3125000000009</v>
      </c>
    </row>
    <row r="61" spans="1:18" x14ac:dyDescent="0.3">
      <c r="A61" t="s">
        <v>29</v>
      </c>
      <c r="B61" s="3">
        <v>46188</v>
      </c>
      <c r="C61" t="s">
        <v>272</v>
      </c>
      <c r="D61" t="str">
        <f>IF(Table1[[#This Row],[Customer Name]]="", "",_xlfn.XLOOKUP(C61,Table7[Customer Name],Table7[Customer ID]," "))</f>
        <v>C-026</v>
      </c>
      <c r="E61" t="s">
        <v>280</v>
      </c>
      <c r="F61" t="s">
        <v>284</v>
      </c>
      <c r="G61">
        <v>7.5</v>
      </c>
      <c r="H61">
        <v>7.5</v>
      </c>
      <c r="I61">
        <v>22000</v>
      </c>
      <c r="J61">
        <v>300</v>
      </c>
      <c r="K61">
        <v>30</v>
      </c>
      <c r="L61">
        <f>IF(OR(Table1[[#This Row],[Quantity]]="",Table1[[#This Row],[Length (cm)]]=""),"",(Table1[[#This Row],[Width (cm)]]/100)*(Table1[[#This Row],[Thickness (cm)]]/100)*(Table1[[#This Row],[Length (cm)]]/100)*Table1[[#This Row],[Quantity]])</f>
        <v>0.50625000000000009</v>
      </c>
      <c r="M61">
        <f>IF(Table1[[#This Row],[Volume (m³)]]="","",Table1[[#This Row],[Volume (m³)]]*Table1[[#This Row],[Price / m³]])</f>
        <v>11137.500000000002</v>
      </c>
      <c r="N61">
        <v>11100</v>
      </c>
      <c r="O61">
        <v>9000</v>
      </c>
      <c r="P61" t="s">
        <v>286</v>
      </c>
      <c r="Q61">
        <v>19125</v>
      </c>
      <c r="R61" s="10">
        <f>Table1[[#This Row],[سعر المتر علينا]]*Table1[[#This Row],[Volume (m³)]]</f>
        <v>9682.0312500000018</v>
      </c>
    </row>
    <row r="62" spans="1:18" x14ac:dyDescent="0.3">
      <c r="A62" t="s">
        <v>30</v>
      </c>
      <c r="B62" s="3">
        <v>46189</v>
      </c>
      <c r="C62" t="s">
        <v>241</v>
      </c>
      <c r="D62" t="str">
        <f>IF(Table1[[#This Row],[Customer Name]]="", "",_xlfn.XLOOKUP(C62,Table7[Customer Name],Table7[Customer ID]," "))</f>
        <v>C-028</v>
      </c>
      <c r="E62" t="s">
        <v>278</v>
      </c>
      <c r="F62" t="s">
        <v>283</v>
      </c>
      <c r="G62">
        <v>10</v>
      </c>
      <c r="H62">
        <v>2.5</v>
      </c>
      <c r="I62">
        <v>21500</v>
      </c>
      <c r="J62">
        <v>150</v>
      </c>
      <c r="K62">
        <v>81</v>
      </c>
      <c r="L62">
        <f>IF(OR(Table1[[#This Row],[Quantity]]="",Table1[[#This Row],[Length (cm)]]=""),"",(Table1[[#This Row],[Width (cm)]]/100)*(Table1[[#This Row],[Thickness (cm)]]/100)*(Table1[[#This Row],[Length (cm)]]/100)*Table1[[#This Row],[Quantity]])</f>
        <v>0.30375000000000008</v>
      </c>
      <c r="M62">
        <f>IF(Table1[[#This Row],[Volume (m³)]]="","",Table1[[#This Row],[Volume (m³)]]*Table1[[#This Row],[Price / m³]])</f>
        <v>6530.6250000000018</v>
      </c>
      <c r="N62">
        <v>6500</v>
      </c>
      <c r="O62">
        <v>6500</v>
      </c>
      <c r="P62" t="s">
        <v>289</v>
      </c>
      <c r="Q62">
        <v>19125</v>
      </c>
      <c r="R62" s="10">
        <f>Table1[[#This Row],[سعر المتر علينا]]*Table1[[#This Row],[Volume (m³)]]</f>
        <v>5809.2187500000018</v>
      </c>
    </row>
    <row r="63" spans="1:18" x14ac:dyDescent="0.3">
      <c r="A63" t="s">
        <v>30</v>
      </c>
      <c r="B63" s="3">
        <v>46189</v>
      </c>
      <c r="C63" t="s">
        <v>241</v>
      </c>
      <c r="D63" t="str">
        <f>IF(Table1[[#This Row],[Customer Name]]="", "",_xlfn.XLOOKUP(C63,Table7[Customer Name],Table7[Customer ID]," "))</f>
        <v>C-028</v>
      </c>
      <c r="E63" t="s">
        <v>279</v>
      </c>
      <c r="F63" t="s">
        <v>282</v>
      </c>
      <c r="G63">
        <v>10</v>
      </c>
      <c r="H63">
        <v>2.5</v>
      </c>
      <c r="I63">
        <v>21500</v>
      </c>
      <c r="J63">
        <v>330</v>
      </c>
      <c r="K63">
        <v>121</v>
      </c>
      <c r="L63">
        <f>IF(OR(Table1[[#This Row],[Quantity]]="",Table1[[#This Row],[Length (cm)]]=""),"",(Table1[[#This Row],[Width (cm)]]/100)*(Table1[[#This Row],[Thickness (cm)]]/100)*(Table1[[#This Row],[Length (cm)]]/100)*Table1[[#This Row],[Quantity]])</f>
        <v>0.99825000000000008</v>
      </c>
      <c r="M63">
        <f>IF(Table1[[#This Row],[Volume (m³)]]="","",Table1[[#This Row],[Volume (m³)]]*Table1[[#This Row],[Price / m³]])</f>
        <v>21462.375</v>
      </c>
      <c r="N63">
        <v>21300</v>
      </c>
      <c r="O63">
        <v>21300</v>
      </c>
      <c r="P63" t="s">
        <v>288</v>
      </c>
      <c r="Q63">
        <v>19125</v>
      </c>
      <c r="R63" s="10">
        <f>Table1[[#This Row],[سعر المتر علينا]]*Table1[[#This Row],[Volume (m³)]]</f>
        <v>19091.53125</v>
      </c>
    </row>
    <row r="64" spans="1:18" x14ac:dyDescent="0.3">
      <c r="A64" t="s">
        <v>31</v>
      </c>
      <c r="B64" s="3">
        <v>46189</v>
      </c>
      <c r="C64" t="s">
        <v>270</v>
      </c>
      <c r="D64" t="str">
        <f>IF(Table1[[#This Row],[Customer Name]]="", "",_xlfn.XLOOKUP(C64,Table7[Customer Name],Table7[Customer ID]," "))</f>
        <v>C-011</v>
      </c>
      <c r="E64" t="s">
        <v>279</v>
      </c>
      <c r="F64" t="s">
        <v>282</v>
      </c>
      <c r="G64">
        <v>10</v>
      </c>
      <c r="H64">
        <v>2.5</v>
      </c>
      <c r="I64">
        <v>21800</v>
      </c>
      <c r="J64">
        <v>510</v>
      </c>
      <c r="K64">
        <v>10</v>
      </c>
      <c r="L64">
        <f>IF(OR(Table1[[#This Row],[Quantity]]="",Table1[[#This Row],[Length (cm)]]=""),"",(Table1[[#This Row],[Width (cm)]]/100)*(Table1[[#This Row],[Thickness (cm)]]/100)*(Table1[[#This Row],[Length (cm)]]/100)*Table1[[#This Row],[Quantity]])</f>
        <v>0.1275</v>
      </c>
      <c r="M64">
        <f>IF(Table1[[#This Row],[Volume (m³)]]="","",Table1[[#This Row],[Volume (m³)]]*Table1[[#This Row],[Price / m³]])</f>
        <v>2779.5</v>
      </c>
      <c r="N64">
        <v>2780</v>
      </c>
      <c r="O64">
        <v>2780</v>
      </c>
      <c r="P64" t="s">
        <v>289</v>
      </c>
      <c r="Q64">
        <v>19125</v>
      </c>
      <c r="R64" s="10">
        <f>Table1[[#This Row],[سعر المتر علينا]]*Table1[[#This Row],[Volume (m³)]]</f>
        <v>2438.4375</v>
      </c>
    </row>
    <row r="65" spans="1:18" x14ac:dyDescent="0.3">
      <c r="A65" t="s">
        <v>32</v>
      </c>
      <c r="B65" s="3">
        <v>46190</v>
      </c>
      <c r="C65" t="s">
        <v>268</v>
      </c>
      <c r="D65" t="str">
        <f>IF(Table1[[#This Row],[Customer Name]]="", "",_xlfn.XLOOKUP(C65,Table7[Customer Name],Table7[Customer ID]," "))</f>
        <v>C-008</v>
      </c>
      <c r="E65" t="s">
        <v>278</v>
      </c>
      <c r="F65" t="s">
        <v>283</v>
      </c>
      <c r="G65">
        <v>10</v>
      </c>
      <c r="H65">
        <v>2.5</v>
      </c>
      <c r="I65">
        <v>21000</v>
      </c>
      <c r="J65">
        <v>90</v>
      </c>
      <c r="K65">
        <v>40</v>
      </c>
      <c r="L65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9.0000000000000024E-2</v>
      </c>
      <c r="M65">
        <f>IF(Table1[[#This Row],[Volume (m³)]]="","",Table1[[#This Row],[Volume (m³)]]*Table1[[#This Row],[Price / m³]])</f>
        <v>1890.0000000000005</v>
      </c>
      <c r="N65">
        <v>1890</v>
      </c>
      <c r="O65">
        <v>1890</v>
      </c>
      <c r="P65" t="s">
        <v>288</v>
      </c>
      <c r="Q65">
        <v>19125</v>
      </c>
      <c r="R65" s="10">
        <f>Table1[[#This Row],[سعر المتر علينا]]*Table1[[#This Row],[Volume (m³)]]</f>
        <v>1721.2500000000005</v>
      </c>
    </row>
    <row r="66" spans="1:18" x14ac:dyDescent="0.3">
      <c r="A66" t="s">
        <v>33</v>
      </c>
      <c r="B66" s="3">
        <v>46190</v>
      </c>
      <c r="C66" t="s">
        <v>270</v>
      </c>
      <c r="D66" t="str">
        <f>IF(Table1[[#This Row],[Customer Name]]="", "",_xlfn.XLOOKUP(C66,Table7[Customer Name],Table7[Customer ID]," "))</f>
        <v>C-011</v>
      </c>
      <c r="E66" t="s">
        <v>279</v>
      </c>
      <c r="F66" t="s">
        <v>282</v>
      </c>
      <c r="G66">
        <v>10</v>
      </c>
      <c r="H66">
        <v>2.5</v>
      </c>
      <c r="I66">
        <v>21800</v>
      </c>
      <c r="J66">
        <v>510</v>
      </c>
      <c r="K66">
        <v>10</v>
      </c>
      <c r="L66">
        <f>IF(OR(Table1[[#This Row],[Quantity]]="",Table1[[#This Row],[Length (cm)]]=""),"",(Table1[[#This Row],[Width (cm)]]/100)*(Table1[[#This Row],[Thickness (cm)]]/100)*(Table1[[#This Row],[Length (cm)]]/100)*Table1[[#This Row],[Quantity]])</f>
        <v>0.1275</v>
      </c>
      <c r="M66">
        <f>IF(Table1[[#This Row],[Volume (m³)]]="","",Table1[[#This Row],[Volume (m³)]]*Table1[[#This Row],[Price / m³]])</f>
        <v>2779.5</v>
      </c>
      <c r="N66">
        <v>2770</v>
      </c>
      <c r="O66">
        <v>280</v>
      </c>
      <c r="P66" t="s">
        <v>286</v>
      </c>
      <c r="Q66">
        <v>19125</v>
      </c>
      <c r="R66" s="10">
        <f>Table1[[#This Row],[سعر المتر علينا]]*Table1[[#This Row],[Volume (m³)]]</f>
        <v>2438.4375</v>
      </c>
    </row>
    <row r="67" spans="1:18" x14ac:dyDescent="0.3">
      <c r="A67" t="s">
        <v>34</v>
      </c>
      <c r="B67" s="3">
        <v>46190</v>
      </c>
      <c r="C67" t="s">
        <v>265</v>
      </c>
      <c r="D67" t="str">
        <f>IF(Table1[[#This Row],[Customer Name]]="", "",_xlfn.XLOOKUP(C67,Table7[Customer Name],Table7[Customer ID]," "))</f>
        <v>C-002</v>
      </c>
      <c r="E67" t="s">
        <v>278</v>
      </c>
      <c r="F67" t="s">
        <v>283</v>
      </c>
      <c r="G67">
        <v>10</v>
      </c>
      <c r="H67">
        <v>2.5</v>
      </c>
      <c r="I67">
        <v>19600</v>
      </c>
      <c r="J67">
        <v>120</v>
      </c>
      <c r="K67">
        <v>40</v>
      </c>
      <c r="L67">
        <f>IF(OR(Table1[[#This Row],[Quantity]]="",Table1[[#This Row],[Length (cm)]]=""),"",(Table1[[#This Row],[Width (cm)]]/100)*(Table1[[#This Row],[Thickness (cm)]]/100)*(Table1[[#This Row],[Length (cm)]]/100)*Table1[[#This Row],[Quantity]])</f>
        <v>0.12000000000000002</v>
      </c>
      <c r="M67">
        <f>IF(Table1[[#This Row],[Volume (m³)]]="","",Table1[[#This Row],[Volume (m³)]]*Table1[[#This Row],[Price / m³]])</f>
        <v>2352.0000000000005</v>
      </c>
      <c r="N67">
        <v>2470</v>
      </c>
      <c r="O67">
        <v>0</v>
      </c>
      <c r="P67" t="s">
        <v>286</v>
      </c>
      <c r="Q67">
        <v>19125</v>
      </c>
      <c r="R67" s="10">
        <f>Table1[[#This Row],[سعر المتر علينا]]*Table1[[#This Row],[Volume (m³)]]</f>
        <v>2295.0000000000005</v>
      </c>
    </row>
    <row r="68" spans="1:18" x14ac:dyDescent="0.3">
      <c r="A68" t="s">
        <v>34</v>
      </c>
      <c r="B68" s="3">
        <v>46190</v>
      </c>
      <c r="C68" t="s">
        <v>265</v>
      </c>
      <c r="D68" t="str">
        <f>IF(Table1[[#This Row],[Customer Name]]="", "",_xlfn.XLOOKUP(C68,Table7[Customer Name],Table7[Customer ID]," "))</f>
        <v>C-002</v>
      </c>
      <c r="E68" t="s">
        <v>278</v>
      </c>
      <c r="F68" t="s">
        <v>282</v>
      </c>
      <c r="G68">
        <v>10</v>
      </c>
      <c r="H68">
        <v>2.5</v>
      </c>
      <c r="I68">
        <v>19600</v>
      </c>
      <c r="J68">
        <v>300</v>
      </c>
      <c r="K68">
        <v>100</v>
      </c>
      <c r="L68">
        <f>IF(OR(Table1[[#This Row],[Quantity]]="",Table1[[#This Row],[Length (cm)]]=""),"",(Table1[[#This Row],[Width (cm)]]/100)*(Table1[[#This Row],[Thickness (cm)]]/100)*(Table1[[#This Row],[Length (cm)]]/100)*Table1[[#This Row],[Quantity]])</f>
        <v>0.75000000000000011</v>
      </c>
      <c r="M68">
        <f>IF(Table1[[#This Row],[Volume (m³)]]="","",Table1[[#This Row],[Volume (m³)]]*Table1[[#This Row],[Price / m³]])</f>
        <v>14700.000000000002</v>
      </c>
      <c r="N68">
        <v>14700</v>
      </c>
      <c r="O68">
        <v>0</v>
      </c>
      <c r="P68" t="s">
        <v>286</v>
      </c>
      <c r="Q68">
        <v>19125</v>
      </c>
      <c r="R68" s="10">
        <f>Table1[[#This Row],[سعر المتر علينا]]*Table1[[#This Row],[Volume (m³)]]</f>
        <v>14343.750000000002</v>
      </c>
    </row>
    <row r="69" spans="1:18" x14ac:dyDescent="0.3">
      <c r="A69" t="s">
        <v>34</v>
      </c>
      <c r="B69" s="3">
        <v>46190</v>
      </c>
      <c r="C69" t="s">
        <v>265</v>
      </c>
      <c r="D69" t="str">
        <f>IF(Table1[[#This Row],[Customer Name]]="", "",_xlfn.XLOOKUP(C69,Table7[Customer Name],Table7[Customer ID]," "))</f>
        <v>C-002</v>
      </c>
      <c r="E69" t="s">
        <v>278</v>
      </c>
      <c r="F69" t="s">
        <v>282</v>
      </c>
      <c r="G69">
        <v>10</v>
      </c>
      <c r="H69">
        <v>2.5</v>
      </c>
      <c r="I69">
        <v>19600</v>
      </c>
      <c r="J69">
        <v>330</v>
      </c>
      <c r="K69">
        <v>100</v>
      </c>
      <c r="L69">
        <f>IF(OR(Table1[[#This Row],[Quantity]]="",Table1[[#This Row],[Length (cm)]]=""),"",(Table1[[#This Row],[Width (cm)]]/100)*(Table1[[#This Row],[Thickness (cm)]]/100)*(Table1[[#This Row],[Length (cm)]]/100)*Table1[[#This Row],[Quantity]])</f>
        <v>0.82500000000000007</v>
      </c>
      <c r="M69">
        <f>IF(Table1[[#This Row],[Volume (m³)]]="","",Table1[[#This Row],[Volume (m³)]]*Table1[[#This Row],[Price / m³]])</f>
        <v>16170.000000000002</v>
      </c>
      <c r="N69">
        <v>16190</v>
      </c>
      <c r="O69">
        <v>0</v>
      </c>
      <c r="P69" t="s">
        <v>285</v>
      </c>
      <c r="Q69">
        <v>19125</v>
      </c>
      <c r="R69" s="10">
        <f>Table1[[#This Row],[سعر المتر علينا]]*Table1[[#This Row],[Volume (m³)]]</f>
        <v>15778.125000000002</v>
      </c>
    </row>
    <row r="70" spans="1:18" x14ac:dyDescent="0.3">
      <c r="A70" t="s">
        <v>35</v>
      </c>
      <c r="B70" s="3">
        <v>46190</v>
      </c>
      <c r="C70" t="s">
        <v>225</v>
      </c>
      <c r="D70" t="str">
        <f>IF(Table1[[#This Row],[Customer Name]]="", "",_xlfn.XLOOKUP(C70,Table7[Customer Name],Table7[Customer ID]," "))</f>
        <v>C-010</v>
      </c>
      <c r="E70" t="s">
        <v>279</v>
      </c>
      <c r="F70" t="s">
        <v>282</v>
      </c>
      <c r="G70">
        <v>10</v>
      </c>
      <c r="H70">
        <v>2.5</v>
      </c>
      <c r="I70">
        <v>22000</v>
      </c>
      <c r="J70">
        <v>510</v>
      </c>
      <c r="K70">
        <v>39</v>
      </c>
      <c r="L70">
        <f>IF(OR(Table1[[#This Row],[Quantity]]="",Table1[[#This Row],[Length (cm)]]=""),"",(Table1[[#This Row],[Width (cm)]]/100)*(Table1[[#This Row],[Thickness (cm)]]/100)*(Table1[[#This Row],[Length (cm)]]/100)*Table1[[#This Row],[Quantity]])</f>
        <v>0.49725000000000003</v>
      </c>
      <c r="M70">
        <f>IF(Table1[[#This Row],[Volume (m³)]]="","",Table1[[#This Row],[Volume (m³)]]*Table1[[#This Row],[Price / m³]])</f>
        <v>10939.5</v>
      </c>
      <c r="N70">
        <v>11000</v>
      </c>
      <c r="O70">
        <v>11000</v>
      </c>
      <c r="P70" t="s">
        <v>288</v>
      </c>
      <c r="Q70">
        <v>19125</v>
      </c>
      <c r="R70" s="10">
        <f>Table1[[#This Row],[سعر المتر علينا]]*Table1[[#This Row],[Volume (m³)]]</f>
        <v>9509.90625</v>
      </c>
    </row>
    <row r="71" spans="1:18" x14ac:dyDescent="0.3">
      <c r="A71" t="s">
        <v>36</v>
      </c>
      <c r="B71" s="3">
        <v>46193</v>
      </c>
      <c r="C71" t="s">
        <v>267</v>
      </c>
      <c r="D71" t="str">
        <f>IF(Table1[[#This Row],[Customer Name]]="", "",_xlfn.XLOOKUP(C71,Table7[Customer Name],Table7[Customer ID]," "))</f>
        <v>C-006</v>
      </c>
      <c r="E71" t="s">
        <v>278</v>
      </c>
      <c r="F71" t="s">
        <v>283</v>
      </c>
      <c r="G71">
        <v>10</v>
      </c>
      <c r="H71">
        <v>2.5</v>
      </c>
      <c r="I71">
        <v>21000</v>
      </c>
      <c r="J71">
        <v>120</v>
      </c>
      <c r="K71">
        <v>20</v>
      </c>
      <c r="L71">
        <f>IF(OR(Table1[[#This Row],[Quantity]]="",Table1[[#This Row],[Length (cm)]]=""),"",(Table1[[#This Row],[Width (cm)]]/100)*(Table1[[#This Row],[Thickness (cm)]]/100)*(Table1[[#This Row],[Length (cm)]]/100)*Table1[[#This Row],[Quantity]])</f>
        <v>6.0000000000000012E-2</v>
      </c>
      <c r="M71">
        <f>IF(Table1[[#This Row],[Volume (m³)]]="","",Table1[[#This Row],[Volume (m³)]]*Table1[[#This Row],[Price / m³]])</f>
        <v>1260.0000000000002</v>
      </c>
      <c r="N71">
        <v>1300</v>
      </c>
      <c r="O71">
        <v>0</v>
      </c>
      <c r="P71" t="s">
        <v>288</v>
      </c>
      <c r="Q71">
        <v>19125</v>
      </c>
      <c r="R71" s="10">
        <f>Table1[[#This Row],[سعر المتر علينا]]*Table1[[#This Row],[Volume (m³)]]</f>
        <v>1147.5000000000002</v>
      </c>
    </row>
    <row r="72" spans="1:18" x14ac:dyDescent="0.3">
      <c r="A72" t="s">
        <v>36</v>
      </c>
      <c r="B72" s="3">
        <v>46193</v>
      </c>
      <c r="C72" t="s">
        <v>267</v>
      </c>
      <c r="D72" t="str">
        <f>IF(Table1[[#This Row],[Customer Name]]="", "",_xlfn.XLOOKUP(C72,Table7[Customer Name],Table7[Customer ID]," "))</f>
        <v>C-006</v>
      </c>
      <c r="E72" t="s">
        <v>278</v>
      </c>
      <c r="F72" t="s">
        <v>282</v>
      </c>
      <c r="G72">
        <v>10</v>
      </c>
      <c r="H72">
        <v>2.5</v>
      </c>
      <c r="I72">
        <v>21000</v>
      </c>
      <c r="J72">
        <v>390</v>
      </c>
      <c r="K72">
        <v>20</v>
      </c>
      <c r="L72">
        <f>IF(OR(Table1[[#This Row],[Quantity]]="",Table1[[#This Row],[Length (cm)]]=""),"",(Table1[[#This Row],[Width (cm)]]/100)*(Table1[[#This Row],[Thickness (cm)]]/100)*(Table1[[#This Row],[Length (cm)]]/100)*Table1[[#This Row],[Quantity]])</f>
        <v>0.19500000000000003</v>
      </c>
      <c r="M72">
        <f>IF(Table1[[#This Row],[Volume (m³)]]="","",Table1[[#This Row],[Volume (m³)]]*Table1[[#This Row],[Price / m³]])</f>
        <v>4095.0000000000009</v>
      </c>
      <c r="N72">
        <v>4100</v>
      </c>
      <c r="O72">
        <v>0</v>
      </c>
      <c r="P72" t="s">
        <v>289</v>
      </c>
      <c r="Q72">
        <v>19125</v>
      </c>
      <c r="R72" s="10">
        <f>Table1[[#This Row],[سعر المتر علينا]]*Table1[[#This Row],[Volume (m³)]]</f>
        <v>3729.3750000000005</v>
      </c>
    </row>
    <row r="73" spans="1:18" x14ac:dyDescent="0.3">
      <c r="A73" t="s">
        <v>37</v>
      </c>
      <c r="B73" s="3">
        <v>46193</v>
      </c>
      <c r="C73" t="s">
        <v>225</v>
      </c>
      <c r="D73" t="str">
        <f>IF(Table1[[#This Row],[Customer Name]]="", "",_xlfn.XLOOKUP(C73,Table7[Customer Name],Table7[Customer ID]," "))</f>
        <v>C-010</v>
      </c>
      <c r="E73" t="s">
        <v>278</v>
      </c>
      <c r="F73" t="s">
        <v>282</v>
      </c>
      <c r="G73">
        <v>10</v>
      </c>
      <c r="H73">
        <v>2.5</v>
      </c>
      <c r="I73">
        <v>21000</v>
      </c>
      <c r="J73">
        <v>330</v>
      </c>
      <c r="K73">
        <v>8</v>
      </c>
      <c r="L73">
        <f>IF(OR(Table1[[#This Row],[Quantity]]="",Table1[[#This Row],[Length (cm)]]=""),"",(Table1[[#This Row],[Width (cm)]]/100)*(Table1[[#This Row],[Thickness (cm)]]/100)*(Table1[[#This Row],[Length (cm)]]/100)*Table1[[#This Row],[Quantity]])</f>
        <v>6.6000000000000003E-2</v>
      </c>
      <c r="M73">
        <f>IF(Table1[[#This Row],[Volume (m³)]]="","",Table1[[#This Row],[Volume (m³)]]*Table1[[#This Row],[Price / m³]])</f>
        <v>1386</v>
      </c>
      <c r="N73">
        <v>1380</v>
      </c>
      <c r="O73">
        <v>1380</v>
      </c>
      <c r="P73" t="s">
        <v>288</v>
      </c>
      <c r="Q73">
        <v>19125</v>
      </c>
      <c r="R73" s="10">
        <f>Table1[[#This Row],[سعر المتر علينا]]*Table1[[#This Row],[Volume (m³)]]</f>
        <v>1262.25</v>
      </c>
    </row>
    <row r="74" spans="1:18" x14ac:dyDescent="0.3">
      <c r="A74" t="s">
        <v>37</v>
      </c>
      <c r="B74" s="3">
        <v>46193</v>
      </c>
      <c r="C74" t="s">
        <v>225</v>
      </c>
      <c r="D74" t="str">
        <f>IF(Table1[[#This Row],[Customer Name]]="", "",_xlfn.XLOOKUP(C74,Table7[Customer Name],Table7[Customer ID]," "))</f>
        <v>C-010</v>
      </c>
      <c r="E74" t="s">
        <v>278</v>
      </c>
      <c r="F74" t="s">
        <v>282</v>
      </c>
      <c r="G74">
        <v>10</v>
      </c>
      <c r="H74">
        <v>2.5</v>
      </c>
      <c r="I74">
        <v>21000</v>
      </c>
      <c r="J74">
        <v>360</v>
      </c>
      <c r="K74">
        <v>8</v>
      </c>
      <c r="L74">
        <f>IF(OR(Table1[[#This Row],[Quantity]]="",Table1[[#This Row],[Length (cm)]]=""),"",(Table1[[#This Row],[Width (cm)]]/100)*(Table1[[#This Row],[Thickness (cm)]]/100)*(Table1[[#This Row],[Length (cm)]]/100)*Table1[[#This Row],[Quantity]])</f>
        <v>7.2000000000000022E-2</v>
      </c>
      <c r="M74">
        <f>IF(Table1[[#This Row],[Volume (m³)]]="","",Table1[[#This Row],[Volume (m³)]]*Table1[[#This Row],[Price / m³]])</f>
        <v>1512.0000000000005</v>
      </c>
      <c r="N74">
        <v>1510</v>
      </c>
      <c r="O74">
        <v>1510</v>
      </c>
      <c r="P74" t="s">
        <v>288</v>
      </c>
      <c r="Q74">
        <v>19125</v>
      </c>
      <c r="R74" s="10">
        <f>Table1[[#This Row],[سعر المتر علينا]]*Table1[[#This Row],[Volume (m³)]]</f>
        <v>1377.0000000000005</v>
      </c>
    </row>
    <row r="75" spans="1:18" x14ac:dyDescent="0.3">
      <c r="A75" t="s">
        <v>37</v>
      </c>
      <c r="B75" s="3">
        <v>46193</v>
      </c>
      <c r="C75" t="s">
        <v>225</v>
      </c>
      <c r="D75" t="str">
        <f>IF(Table1[[#This Row],[Customer Name]]="", "",_xlfn.XLOOKUP(C75,Table7[Customer Name],Table7[Customer ID]," "))</f>
        <v>C-010</v>
      </c>
      <c r="E75" t="s">
        <v>279</v>
      </c>
      <c r="F75" t="s">
        <v>282</v>
      </c>
      <c r="G75">
        <v>10</v>
      </c>
      <c r="H75">
        <v>2.5</v>
      </c>
      <c r="I75">
        <v>22000</v>
      </c>
      <c r="J75">
        <v>510</v>
      </c>
      <c r="K75">
        <v>20</v>
      </c>
      <c r="L75">
        <f>IF(OR(Table1[[#This Row],[Quantity]]="",Table1[[#This Row],[Length (cm)]]=""),"",(Table1[[#This Row],[Width (cm)]]/100)*(Table1[[#This Row],[Thickness (cm)]]/100)*(Table1[[#This Row],[Length (cm)]]/100)*Table1[[#This Row],[Quantity]])</f>
        <v>0.255</v>
      </c>
      <c r="M75">
        <f>IF(Table1[[#This Row],[Volume (m³)]]="","",Table1[[#This Row],[Volume (m³)]]*Table1[[#This Row],[Price / m³]])</f>
        <v>5610</v>
      </c>
      <c r="N75">
        <v>5610</v>
      </c>
      <c r="O75">
        <v>5610</v>
      </c>
      <c r="P75" t="s">
        <v>289</v>
      </c>
      <c r="Q75">
        <v>19125</v>
      </c>
      <c r="R75" s="10">
        <f>Table1[[#This Row],[سعر المتر علينا]]*Table1[[#This Row],[Volume (m³)]]</f>
        <v>4876.875</v>
      </c>
    </row>
    <row r="76" spans="1:18" x14ac:dyDescent="0.3">
      <c r="A76" t="s">
        <v>38</v>
      </c>
      <c r="B76" s="3">
        <v>46194</v>
      </c>
      <c r="C76" t="s">
        <v>267</v>
      </c>
      <c r="D76" t="str">
        <f>IF(Table1[[#This Row],[Customer Name]]="", "",_xlfn.XLOOKUP(C76,Table7[Customer Name],Table7[Customer ID]," "))</f>
        <v>C-006</v>
      </c>
      <c r="E76" t="s">
        <v>278</v>
      </c>
      <c r="F76" t="s">
        <v>283</v>
      </c>
      <c r="G76">
        <v>10</v>
      </c>
      <c r="H76">
        <v>2.5</v>
      </c>
      <c r="I76">
        <v>21000</v>
      </c>
      <c r="J76">
        <v>90</v>
      </c>
      <c r="K76">
        <v>12</v>
      </c>
      <c r="L76">
        <f>IF(OR(Table1[[#This Row],[Quantity]]="",Table1[[#This Row],[Length (cm)]]=""),"",(Table1[[#This Row],[Width (cm)]]/100)*(Table1[[#This Row],[Thickness (cm)]]/100)*(Table1[[#This Row],[Length (cm)]]/100)*Table1[[#This Row],[Quantity]])</f>
        <v>2.700000000000001E-2</v>
      </c>
      <c r="M76">
        <f>IF(Table1[[#This Row],[Volume (m³)]]="","",Table1[[#This Row],[Volume (m³)]]*Table1[[#This Row],[Price / m³]])</f>
        <v>567.00000000000023</v>
      </c>
      <c r="N76">
        <v>580</v>
      </c>
      <c r="O76">
        <v>580</v>
      </c>
      <c r="P76" t="s">
        <v>289</v>
      </c>
      <c r="Q76">
        <v>19125</v>
      </c>
      <c r="R76" s="10">
        <f>Table1[[#This Row],[سعر المتر علينا]]*Table1[[#This Row],[Volume (m³)]]</f>
        <v>516.37500000000023</v>
      </c>
    </row>
    <row r="77" spans="1:18" x14ac:dyDescent="0.3">
      <c r="A77" t="s">
        <v>38</v>
      </c>
      <c r="B77" s="3">
        <v>46194</v>
      </c>
      <c r="C77" t="s">
        <v>267</v>
      </c>
      <c r="D77" t="str">
        <f>IF(Table1[[#This Row],[Customer Name]]="", "",_xlfn.XLOOKUP(C77,Table7[Customer Name],Table7[Customer ID]," "))</f>
        <v>C-006</v>
      </c>
      <c r="E77" t="s">
        <v>278</v>
      </c>
      <c r="F77" t="s">
        <v>283</v>
      </c>
      <c r="G77">
        <v>10</v>
      </c>
      <c r="H77">
        <v>2.5</v>
      </c>
      <c r="I77">
        <v>21000</v>
      </c>
      <c r="J77">
        <v>120</v>
      </c>
      <c r="K77">
        <v>40</v>
      </c>
      <c r="L77">
        <f>IF(OR(Table1[[#This Row],[Quantity]]="",Table1[[#This Row],[Length (cm)]]=""),"",(Table1[[#This Row],[Width (cm)]]/100)*(Table1[[#This Row],[Thickness (cm)]]/100)*(Table1[[#This Row],[Length (cm)]]/100)*Table1[[#This Row],[Quantity]])</f>
        <v>0.12000000000000002</v>
      </c>
      <c r="M77">
        <f>IF(Table1[[#This Row],[Volume (m³)]]="","",Table1[[#This Row],[Volume (m³)]]*Table1[[#This Row],[Price / m³]])</f>
        <v>2520.0000000000005</v>
      </c>
      <c r="N77">
        <v>2520</v>
      </c>
      <c r="O77">
        <v>2520</v>
      </c>
      <c r="P77" t="s">
        <v>288</v>
      </c>
      <c r="Q77">
        <v>19125</v>
      </c>
      <c r="R77" s="10">
        <f>Table1[[#This Row],[سعر المتر علينا]]*Table1[[#This Row],[Volume (m³)]]</f>
        <v>2295.0000000000005</v>
      </c>
    </row>
    <row r="78" spans="1:18" x14ac:dyDescent="0.3">
      <c r="A78" t="s">
        <v>39</v>
      </c>
      <c r="B78" s="3">
        <v>46194</v>
      </c>
      <c r="C78" t="s">
        <v>265</v>
      </c>
      <c r="D78" t="str">
        <f>IF(Table1[[#This Row],[Customer Name]]="", "",_xlfn.XLOOKUP(C78,Table7[Customer Name],Table7[Customer ID]," "))</f>
        <v>C-002</v>
      </c>
      <c r="E78" t="s">
        <v>278</v>
      </c>
      <c r="F78" t="s">
        <v>283</v>
      </c>
      <c r="G78">
        <v>10</v>
      </c>
      <c r="H78">
        <v>2.5</v>
      </c>
      <c r="I78">
        <v>19600</v>
      </c>
      <c r="J78">
        <v>90</v>
      </c>
      <c r="K78">
        <v>70</v>
      </c>
      <c r="L78">
        <f>IF(OR(Table1[[#This Row],[Quantity]]="",Table1[[#This Row],[Length (cm)]]=""),"",(Table1[[#This Row],[Width (cm)]]/100)*(Table1[[#This Row],[Thickness (cm)]]/100)*(Table1[[#This Row],[Length (cm)]]/100)*Table1[[#This Row],[Quantity]])</f>
        <v>0.15750000000000006</v>
      </c>
      <c r="M78">
        <f>IF(Table1[[#This Row],[Volume (m³)]]="","",Table1[[#This Row],[Volume (m³)]]*Table1[[#This Row],[Price / m³]])</f>
        <v>3087.0000000000009</v>
      </c>
      <c r="N78">
        <v>3100</v>
      </c>
      <c r="O78">
        <v>3000</v>
      </c>
      <c r="P78" t="s">
        <v>285</v>
      </c>
      <c r="Q78">
        <v>19125</v>
      </c>
      <c r="R78" s="10">
        <f>Table1[[#This Row],[سعر المتر علينا]]*Table1[[#This Row],[Volume (m³)]]</f>
        <v>3012.1875000000009</v>
      </c>
    </row>
    <row r="79" spans="1:18" x14ac:dyDescent="0.3">
      <c r="A79" t="s">
        <v>39</v>
      </c>
      <c r="B79" s="3">
        <v>46194</v>
      </c>
      <c r="C79" t="s">
        <v>265</v>
      </c>
      <c r="D79" t="str">
        <f>IF(Table1[[#This Row],[Customer Name]]="", "",_xlfn.XLOOKUP(C79,Table7[Customer Name],Table7[Customer ID]," "))</f>
        <v>C-002</v>
      </c>
      <c r="E79" t="s">
        <v>278</v>
      </c>
      <c r="F79" t="s">
        <v>283</v>
      </c>
      <c r="G79">
        <v>10</v>
      </c>
      <c r="H79">
        <v>2.5</v>
      </c>
      <c r="I79">
        <v>19600</v>
      </c>
      <c r="J79">
        <v>150</v>
      </c>
      <c r="K79">
        <v>30</v>
      </c>
      <c r="L79">
        <f>IF(OR(Table1[[#This Row],[Quantity]]="",Table1[[#This Row],[Length (cm)]]=""),"",(Table1[[#This Row],[Width (cm)]]/100)*(Table1[[#This Row],[Thickness (cm)]]/100)*(Table1[[#This Row],[Length (cm)]]/100)*Table1[[#This Row],[Quantity]])</f>
        <v>0.11250000000000002</v>
      </c>
      <c r="M79">
        <f>IF(Table1[[#This Row],[Volume (m³)]]="","",Table1[[#This Row],[Volume (m³)]]*Table1[[#This Row],[Price / m³]])</f>
        <v>2205.0000000000005</v>
      </c>
      <c r="N79">
        <v>2220</v>
      </c>
      <c r="O79">
        <v>2000</v>
      </c>
      <c r="P79" t="s">
        <v>285</v>
      </c>
      <c r="Q79">
        <v>19125</v>
      </c>
      <c r="R79" s="10">
        <f>Table1[[#This Row],[سعر المتر علينا]]*Table1[[#This Row],[Volume (m³)]]</f>
        <v>2151.5625000000005</v>
      </c>
    </row>
    <row r="80" spans="1:18" x14ac:dyDescent="0.3">
      <c r="A80" t="s">
        <v>39</v>
      </c>
      <c r="B80" s="3">
        <v>46194</v>
      </c>
      <c r="C80" t="s">
        <v>265</v>
      </c>
      <c r="D80" t="str">
        <f>IF(Table1[[#This Row],[Customer Name]]="", "",_xlfn.XLOOKUP(C80,Table7[Customer Name],Table7[Customer ID]," "))</f>
        <v>C-002</v>
      </c>
      <c r="E80" t="s">
        <v>278</v>
      </c>
      <c r="F80" t="s">
        <v>282</v>
      </c>
      <c r="G80">
        <v>10</v>
      </c>
      <c r="H80">
        <v>2.5</v>
      </c>
      <c r="I80">
        <v>19600</v>
      </c>
      <c r="J80">
        <v>300</v>
      </c>
      <c r="K80">
        <v>60</v>
      </c>
      <c r="L80">
        <f>IF(OR(Table1[[#This Row],[Quantity]]="",Table1[[#This Row],[Length (cm)]]=""),"",(Table1[[#This Row],[Width (cm)]]/100)*(Table1[[#This Row],[Thickness (cm)]]/100)*(Table1[[#This Row],[Length (cm)]]/100)*Table1[[#This Row],[Quantity]])</f>
        <v>0.45000000000000007</v>
      </c>
      <c r="M80">
        <f>IF(Table1[[#This Row],[Volume (m³)]]="","",Table1[[#This Row],[Volume (m³)]]*Table1[[#This Row],[Price / m³]])</f>
        <v>8820.0000000000018</v>
      </c>
      <c r="N80">
        <v>8820</v>
      </c>
      <c r="O80">
        <v>8800</v>
      </c>
      <c r="P80" t="s">
        <v>286</v>
      </c>
      <c r="Q80">
        <v>19125</v>
      </c>
      <c r="R80" s="10">
        <f>Table1[[#This Row],[سعر المتر علينا]]*Table1[[#This Row],[Volume (m³)]]</f>
        <v>8606.2500000000018</v>
      </c>
    </row>
    <row r="81" spans="1:18" x14ac:dyDescent="0.3">
      <c r="A81" t="s">
        <v>39</v>
      </c>
      <c r="B81" s="3">
        <v>46194</v>
      </c>
      <c r="C81" t="s">
        <v>265</v>
      </c>
      <c r="D81" t="str">
        <f>IF(Table1[[#This Row],[Customer Name]]="", "",_xlfn.XLOOKUP(C81,Table7[Customer Name],Table7[Customer ID]," "))</f>
        <v>C-002</v>
      </c>
      <c r="E81" t="s">
        <v>278</v>
      </c>
      <c r="F81" t="s">
        <v>282</v>
      </c>
      <c r="G81">
        <v>10</v>
      </c>
      <c r="H81">
        <v>2.5</v>
      </c>
      <c r="I81">
        <v>19600</v>
      </c>
      <c r="J81">
        <v>450</v>
      </c>
      <c r="K81">
        <v>30</v>
      </c>
      <c r="L81">
        <f>IF(OR(Table1[[#This Row],[Quantity]]="",Table1[[#This Row],[Length (cm)]]=""),"",(Table1[[#This Row],[Width (cm)]]/100)*(Table1[[#This Row],[Thickness (cm)]]/100)*(Table1[[#This Row],[Length (cm)]]/100)*Table1[[#This Row],[Quantity]])</f>
        <v>0.33750000000000008</v>
      </c>
      <c r="M81">
        <f>IF(Table1[[#This Row],[Volume (m³)]]="","",Table1[[#This Row],[Volume (m³)]]*Table1[[#This Row],[Price / m³]])</f>
        <v>6615.0000000000018</v>
      </c>
      <c r="N81">
        <v>6620</v>
      </c>
      <c r="O81">
        <v>6500</v>
      </c>
      <c r="P81" t="s">
        <v>285</v>
      </c>
      <c r="Q81">
        <v>19125</v>
      </c>
      <c r="R81" s="10">
        <f>Table1[[#This Row],[سعر المتر علينا]]*Table1[[#This Row],[Volume (m³)]]</f>
        <v>6454.6875000000018</v>
      </c>
    </row>
    <row r="82" spans="1:18" x14ac:dyDescent="0.3">
      <c r="A82" t="s">
        <v>40</v>
      </c>
      <c r="B82" s="3">
        <v>46195</v>
      </c>
      <c r="C82" t="s">
        <v>226</v>
      </c>
      <c r="D82" t="str">
        <f>IF(Table1[[#This Row],[Customer Name]]="", "",_xlfn.XLOOKUP(C82,Table7[Customer Name],Table7[Customer ID]," "))</f>
        <v>C-012</v>
      </c>
      <c r="E82" t="s">
        <v>278</v>
      </c>
      <c r="F82" t="s">
        <v>283</v>
      </c>
      <c r="G82">
        <v>10</v>
      </c>
      <c r="H82">
        <v>2.5</v>
      </c>
      <c r="I82">
        <v>21000</v>
      </c>
      <c r="J82">
        <v>120</v>
      </c>
      <c r="K82">
        <v>1</v>
      </c>
      <c r="L82">
        <f>IF(OR(Table1[[#This Row],[Quantity]]="",Table1[[#This Row],[Length (cm)]]=""),"",(Table1[[#This Row],[Width (cm)]]/100)*(Table1[[#This Row],[Thickness (cm)]]/100)*(Table1[[#This Row],[Length (cm)]]/100)*Table1[[#This Row],[Quantity]])</f>
        <v>3.0000000000000005E-3</v>
      </c>
      <c r="M82">
        <f>IF(Table1[[#This Row],[Volume (m³)]]="","",Table1[[#This Row],[Volume (m³)]]*Table1[[#This Row],[Price / m³]])</f>
        <v>63.000000000000007</v>
      </c>
      <c r="N82">
        <v>55</v>
      </c>
      <c r="O82">
        <v>55</v>
      </c>
      <c r="P82" t="s">
        <v>289</v>
      </c>
      <c r="Q82">
        <v>19125</v>
      </c>
      <c r="R82" s="10">
        <f>Table1[[#This Row],[سعر المتر علينا]]*Table1[[#This Row],[Volume (m³)]]</f>
        <v>57.375000000000007</v>
      </c>
    </row>
    <row r="83" spans="1:18" x14ac:dyDescent="0.3">
      <c r="A83" t="s">
        <v>40</v>
      </c>
      <c r="B83" s="3">
        <v>46195</v>
      </c>
      <c r="C83" t="s">
        <v>226</v>
      </c>
      <c r="D83" t="str">
        <f>IF(Table1[[#This Row],[Customer Name]]="", "",_xlfn.XLOOKUP(C83,Table7[Customer Name],Table7[Customer ID]," "))</f>
        <v>C-012</v>
      </c>
      <c r="E83" t="s">
        <v>278</v>
      </c>
      <c r="F83" t="s">
        <v>283</v>
      </c>
      <c r="G83">
        <v>10</v>
      </c>
      <c r="H83">
        <v>2.5</v>
      </c>
      <c r="I83">
        <v>21000</v>
      </c>
      <c r="J83">
        <v>150</v>
      </c>
      <c r="K83">
        <v>12</v>
      </c>
      <c r="L83">
        <f>IF(OR(Table1[[#This Row],[Quantity]]="",Table1[[#This Row],[Length (cm)]]=""),"",(Table1[[#This Row],[Width (cm)]]/100)*(Table1[[#This Row],[Thickness (cm)]]/100)*(Table1[[#This Row],[Length (cm)]]/100)*Table1[[#This Row],[Quantity]])</f>
        <v>4.5000000000000012E-2</v>
      </c>
      <c r="M83">
        <f>IF(Table1[[#This Row],[Volume (m³)]]="","",Table1[[#This Row],[Volume (m³)]]*Table1[[#This Row],[Price / m³]])</f>
        <v>945.00000000000023</v>
      </c>
      <c r="N83">
        <v>945</v>
      </c>
      <c r="O83">
        <v>945</v>
      </c>
      <c r="P83" t="s">
        <v>289</v>
      </c>
      <c r="Q83">
        <v>19125</v>
      </c>
      <c r="R83" s="10">
        <f>Table1[[#This Row],[سعر المتر علينا]]*Table1[[#This Row],[Volume (m³)]]</f>
        <v>860.62500000000023</v>
      </c>
    </row>
    <row r="84" spans="1:18" x14ac:dyDescent="0.3">
      <c r="A84" t="s">
        <v>41</v>
      </c>
      <c r="B84" s="3">
        <v>46196</v>
      </c>
      <c r="C84" t="s">
        <v>270</v>
      </c>
      <c r="D84" t="str">
        <f>IF(Table1[[#This Row],[Customer Name]]="", "",_xlfn.XLOOKUP(C84,Table7[Customer Name],Table7[Customer ID]," "))</f>
        <v>C-011</v>
      </c>
      <c r="E84" t="s">
        <v>278</v>
      </c>
      <c r="F84" t="s">
        <v>282</v>
      </c>
      <c r="G84">
        <v>10</v>
      </c>
      <c r="H84">
        <v>2.5</v>
      </c>
      <c r="I84">
        <v>21000</v>
      </c>
      <c r="J84">
        <v>510</v>
      </c>
      <c r="K84">
        <v>6</v>
      </c>
      <c r="L84">
        <f>IF(OR(Table1[[#This Row],[Quantity]]="",Table1[[#This Row],[Length (cm)]]=""),"",(Table1[[#This Row],[Width (cm)]]/100)*(Table1[[#This Row],[Thickness (cm)]]/100)*(Table1[[#This Row],[Length (cm)]]/100)*Table1[[#This Row],[Quantity]])</f>
        <v>7.6500000000000012E-2</v>
      </c>
      <c r="M84">
        <f>IF(Table1[[#This Row],[Volume (m³)]]="","",Table1[[#This Row],[Volume (m³)]]*Table1[[#This Row],[Price / m³]])</f>
        <v>1606.5000000000002</v>
      </c>
      <c r="N84">
        <v>1610</v>
      </c>
      <c r="O84">
        <v>1610</v>
      </c>
      <c r="P84" t="s">
        <v>289</v>
      </c>
      <c r="Q84">
        <v>19125</v>
      </c>
      <c r="R84" s="10">
        <f>Table1[[#This Row],[سعر المتر علينا]]*Table1[[#This Row],[Volume (m³)]]</f>
        <v>1463.0625000000002</v>
      </c>
    </row>
    <row r="85" spans="1:18" x14ac:dyDescent="0.3">
      <c r="A85" t="s">
        <v>41</v>
      </c>
      <c r="B85" s="3">
        <v>46196</v>
      </c>
      <c r="C85" t="s">
        <v>270</v>
      </c>
      <c r="D85" t="str">
        <f>IF(Table1[[#This Row],[Customer Name]]="", "",_xlfn.XLOOKUP(C85,Table7[Customer Name],Table7[Customer ID]," "))</f>
        <v>C-011</v>
      </c>
      <c r="E85" t="s">
        <v>279</v>
      </c>
      <c r="F85" t="s">
        <v>282</v>
      </c>
      <c r="G85">
        <v>10</v>
      </c>
      <c r="H85">
        <v>2.5</v>
      </c>
      <c r="I85">
        <v>21800</v>
      </c>
      <c r="J85">
        <v>510</v>
      </c>
      <c r="K85">
        <v>4</v>
      </c>
      <c r="L85">
        <f>IF(OR(Table1[[#This Row],[Quantity]]="",Table1[[#This Row],[Length (cm)]]=""),"",(Table1[[#This Row],[Width (cm)]]/100)*(Table1[[#This Row],[Thickness (cm)]]/100)*(Table1[[#This Row],[Length (cm)]]/100)*Table1[[#This Row],[Quantity]])</f>
        <v>5.1000000000000004E-2</v>
      </c>
      <c r="M85">
        <f>IF(Table1[[#This Row],[Volume (m³)]]="","",Table1[[#This Row],[Volume (m³)]]*Table1[[#This Row],[Price / m³]])</f>
        <v>1111.8000000000002</v>
      </c>
      <c r="N85">
        <v>1111</v>
      </c>
      <c r="O85">
        <v>1110</v>
      </c>
      <c r="P85" t="s">
        <v>289</v>
      </c>
      <c r="Q85">
        <v>19125</v>
      </c>
      <c r="R85" s="10">
        <f>Table1[[#This Row],[سعر المتر علينا]]*Table1[[#This Row],[Volume (m³)]]</f>
        <v>975.37500000000011</v>
      </c>
    </row>
    <row r="86" spans="1:18" x14ac:dyDescent="0.3">
      <c r="A86" t="s">
        <v>42</v>
      </c>
      <c r="B86" s="3">
        <v>46189</v>
      </c>
      <c r="C86" t="s">
        <v>271</v>
      </c>
      <c r="D86" t="str">
        <f>IF(Table1[[#This Row],[Customer Name]]="", "",_xlfn.XLOOKUP(C86,Table7[Customer Name],Table7[Customer ID]," "))</f>
        <v>C-014</v>
      </c>
      <c r="E86" t="s">
        <v>278</v>
      </c>
      <c r="F86" t="s">
        <v>282</v>
      </c>
      <c r="G86">
        <v>10</v>
      </c>
      <c r="H86">
        <v>2.5</v>
      </c>
      <c r="I86">
        <v>21000</v>
      </c>
      <c r="J86">
        <v>300</v>
      </c>
      <c r="K86">
        <v>66</v>
      </c>
      <c r="L86">
        <f>IF(OR(Table1[[#This Row],[Quantity]]="",Table1[[#This Row],[Length (cm)]]=""),"",(Table1[[#This Row],[Width (cm)]]/100)*(Table1[[#This Row],[Thickness (cm)]]/100)*(Table1[[#This Row],[Length (cm)]]/100)*Table1[[#This Row],[Quantity]])</f>
        <v>0.49500000000000011</v>
      </c>
      <c r="M86">
        <f>IF(Table1[[#This Row],[Volume (m³)]]="","",Table1[[#This Row],[Volume (m³)]]*Table1[[#This Row],[Price / m³]])</f>
        <v>10395.000000000002</v>
      </c>
      <c r="N86">
        <v>10500</v>
      </c>
      <c r="O86">
        <v>0</v>
      </c>
      <c r="P86" t="s">
        <v>285</v>
      </c>
      <c r="Q86">
        <v>19125</v>
      </c>
      <c r="R86" s="10">
        <f>Table1[[#This Row],[سعر المتر علينا]]*Table1[[#This Row],[Volume (m³)]]</f>
        <v>9466.8750000000018</v>
      </c>
    </row>
    <row r="87" spans="1:18" x14ac:dyDescent="0.3">
      <c r="A87" t="s">
        <v>43</v>
      </c>
      <c r="B87" s="3">
        <v>46197</v>
      </c>
      <c r="C87" t="s">
        <v>265</v>
      </c>
      <c r="D87" t="str">
        <f>IF(Table1[[#This Row],[Customer Name]]="", "",_xlfn.XLOOKUP(C87,Table7[Customer Name],Table7[Customer ID]," "))</f>
        <v>C-002</v>
      </c>
      <c r="E87" t="s">
        <v>278</v>
      </c>
      <c r="F87" t="s">
        <v>282</v>
      </c>
      <c r="G87">
        <v>10</v>
      </c>
      <c r="H87">
        <v>2.5</v>
      </c>
      <c r="I87">
        <v>19600</v>
      </c>
      <c r="J87">
        <v>450</v>
      </c>
      <c r="K87">
        <v>200</v>
      </c>
      <c r="L87">
        <f>IF(OR(Table1[[#This Row],[Quantity]]="",Table1[[#This Row],[Length (cm)]]=""),"",(Table1[[#This Row],[Width (cm)]]/100)*(Table1[[#This Row],[Thickness (cm)]]/100)*(Table1[[#This Row],[Length (cm)]]/100)*Table1[[#This Row],[Quantity]])</f>
        <v>2.2500000000000004</v>
      </c>
      <c r="M87">
        <f>IF(Table1[[#This Row],[Volume (m³)]]="","",Table1[[#This Row],[Volume (m³)]]*Table1[[#This Row],[Price / m³]])</f>
        <v>44100.000000000007</v>
      </c>
      <c r="N87">
        <v>44100</v>
      </c>
      <c r="O87">
        <v>0</v>
      </c>
      <c r="P87" t="s">
        <v>285</v>
      </c>
      <c r="Q87">
        <v>19125</v>
      </c>
      <c r="R87" s="10">
        <f>Table1[[#This Row],[سعر المتر علينا]]*Table1[[#This Row],[Volume (m³)]]</f>
        <v>43031.250000000007</v>
      </c>
    </row>
    <row r="88" spans="1:18" x14ac:dyDescent="0.3">
      <c r="A88" t="s">
        <v>43</v>
      </c>
      <c r="B88" s="3">
        <v>46197</v>
      </c>
      <c r="C88" t="s">
        <v>265</v>
      </c>
      <c r="D88" t="str">
        <f>IF(Table1[[#This Row],[Customer Name]]="", "",_xlfn.XLOOKUP(C88,Table7[Customer Name],Table7[Customer ID]," "))</f>
        <v>C-002</v>
      </c>
      <c r="E88" t="s">
        <v>278</v>
      </c>
      <c r="F88" t="s">
        <v>282</v>
      </c>
      <c r="G88">
        <v>12.5</v>
      </c>
      <c r="H88">
        <v>2.5</v>
      </c>
      <c r="I88">
        <v>17000</v>
      </c>
      <c r="J88">
        <v>450</v>
      </c>
      <c r="K88">
        <v>30</v>
      </c>
      <c r="L88">
        <f>IF(OR(Table1[[#This Row],[Quantity]]="",Table1[[#This Row],[Length (cm)]]=""),"",(Table1[[#This Row],[Width (cm)]]/100)*(Table1[[#This Row],[Thickness (cm)]]/100)*(Table1[[#This Row],[Length (cm)]]/100)*Table1[[#This Row],[Quantity]])</f>
        <v>0.421875</v>
      </c>
      <c r="M88">
        <f>IF(Table1[[#This Row],[Volume (m³)]]="","",Table1[[#This Row],[Volume (m³)]]*Table1[[#This Row],[Price / m³]])</f>
        <v>7171.875</v>
      </c>
      <c r="N88">
        <v>7200</v>
      </c>
      <c r="O88">
        <v>0</v>
      </c>
      <c r="P88" t="s">
        <v>286</v>
      </c>
      <c r="Q88">
        <v>19125</v>
      </c>
      <c r="R88" s="10">
        <f>Table1[[#This Row],[سعر المتر علينا]]*Table1[[#This Row],[Volume (m³)]]</f>
        <v>8068.359375</v>
      </c>
    </row>
    <row r="89" spans="1:18" x14ac:dyDescent="0.3">
      <c r="A89" t="s">
        <v>44</v>
      </c>
      <c r="B89" s="3">
        <v>46197</v>
      </c>
      <c r="C89" t="s">
        <v>226</v>
      </c>
      <c r="D89" t="str">
        <f>IF(Table1[[#This Row],[Customer Name]]="", "",_xlfn.XLOOKUP(C89,Table7[Customer Name],Table7[Customer ID]," "))</f>
        <v>C-012</v>
      </c>
      <c r="E89" t="s">
        <v>278</v>
      </c>
      <c r="F89" t="s">
        <v>283</v>
      </c>
      <c r="G89">
        <v>10</v>
      </c>
      <c r="H89">
        <v>2.5</v>
      </c>
      <c r="I89">
        <v>21000</v>
      </c>
      <c r="J89">
        <v>150</v>
      </c>
      <c r="K89">
        <v>20</v>
      </c>
      <c r="L89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7.5000000000000011E-2</v>
      </c>
      <c r="M89">
        <f>IF(Table1[[#This Row],[Volume (m³)]]="","",Table1[[#This Row],[Volume (m³)]]*Table1[[#This Row],[Price / m³]])</f>
        <v>1575.0000000000002</v>
      </c>
      <c r="N89">
        <v>1575</v>
      </c>
      <c r="O89">
        <v>1575</v>
      </c>
      <c r="P89" t="s">
        <v>288</v>
      </c>
      <c r="Q89">
        <v>19125</v>
      </c>
      <c r="R89" s="10">
        <f>Table1[[#This Row],[سعر المتر علينا]]*Table1[[#This Row],[Volume (m³)]]</f>
        <v>1434.3750000000002</v>
      </c>
    </row>
    <row r="90" spans="1:18" x14ac:dyDescent="0.3">
      <c r="A90" t="s">
        <v>78</v>
      </c>
      <c r="B90" s="3">
        <v>46198</v>
      </c>
      <c r="C90" t="s">
        <v>240</v>
      </c>
      <c r="D90" t="str">
        <f>IF(Table1[[#This Row],[Customer Name]]="", "",_xlfn.XLOOKUP(C90,Table7[Customer Name],Table7[Customer ID]," "))</f>
        <v>C-027</v>
      </c>
      <c r="E90" t="s">
        <v>278</v>
      </c>
      <c r="F90" t="s">
        <v>283</v>
      </c>
      <c r="G90">
        <v>10</v>
      </c>
      <c r="H90">
        <v>2.5</v>
      </c>
      <c r="I90">
        <v>21000</v>
      </c>
      <c r="J90">
        <v>150</v>
      </c>
      <c r="K90">
        <v>3</v>
      </c>
      <c r="L90">
        <f>IF(OR(Table1[[#This Row],[Quantity]]="",Table1[[#This Row],[Length (cm)]]=""),"",(Table1[[#This Row],[Width (cm)]]/100)*(Table1[[#This Row],[Thickness (cm)]]/100)*(Table1[[#This Row],[Length (cm)]]/100)*Table1[[#This Row],[Quantity]])</f>
        <v>1.1250000000000003E-2</v>
      </c>
      <c r="M90">
        <f>IF(Table1[[#This Row],[Volume (m³)]]="","",Table1[[#This Row],[Volume (m³)]]*Table1[[#This Row],[Price / m³]])</f>
        <v>236.25000000000006</v>
      </c>
      <c r="N90">
        <v>240</v>
      </c>
      <c r="O90">
        <v>0</v>
      </c>
      <c r="P90" t="s">
        <v>285</v>
      </c>
      <c r="Q90">
        <v>19125</v>
      </c>
      <c r="R90" s="10">
        <f>Table1[[#This Row],[سعر المتر علينا]]*Table1[[#This Row],[Volume (m³)]]</f>
        <v>215.15625000000006</v>
      </c>
    </row>
    <row r="91" spans="1:18" x14ac:dyDescent="0.3">
      <c r="A91" t="s">
        <v>78</v>
      </c>
      <c r="B91" s="3">
        <v>46198</v>
      </c>
      <c r="C91" t="s">
        <v>240</v>
      </c>
      <c r="D91" t="str">
        <f>IF(Table1[[#This Row],[Customer Name]]="", "",_xlfn.XLOOKUP(C91,Table7[Customer Name],Table7[Customer ID]," "))</f>
        <v>C-027</v>
      </c>
      <c r="E91" t="s">
        <v>278</v>
      </c>
      <c r="F91" t="s">
        <v>282</v>
      </c>
      <c r="G91">
        <v>10</v>
      </c>
      <c r="H91">
        <v>2.5</v>
      </c>
      <c r="I91">
        <v>21000</v>
      </c>
      <c r="J91">
        <v>270</v>
      </c>
      <c r="K91">
        <v>149</v>
      </c>
      <c r="L91">
        <f>IF(OR(Table1[[#This Row],[Quantity]]="",Table1[[#This Row],[Length (cm)]]=""),"",(Table1[[#This Row],[Width (cm)]]/100)*(Table1[[#This Row],[Thickness (cm)]]/100)*(Table1[[#This Row],[Length (cm)]]/100)*Table1[[#This Row],[Quantity]])</f>
        <v>1.0057500000000001</v>
      </c>
      <c r="M91">
        <f>IF(Table1[[#This Row],[Volume (m³)]]="","",Table1[[#This Row],[Volume (m³)]]*Table1[[#This Row],[Price / m³]])</f>
        <v>21120.750000000004</v>
      </c>
      <c r="N91">
        <v>21120</v>
      </c>
      <c r="O91">
        <v>0</v>
      </c>
      <c r="P91" t="s">
        <v>285</v>
      </c>
      <c r="Q91">
        <v>19125</v>
      </c>
      <c r="R91" s="10">
        <f>Table1[[#This Row],[سعر المتر علينا]]*Table1[[#This Row],[Volume (m³)]]</f>
        <v>19234.968750000004</v>
      </c>
    </row>
    <row r="92" spans="1:18" x14ac:dyDescent="0.3">
      <c r="A92" t="s">
        <v>78</v>
      </c>
      <c r="B92" s="3">
        <v>46198</v>
      </c>
      <c r="C92" t="s">
        <v>240</v>
      </c>
      <c r="D92" t="str">
        <f>IF(Table1[[#This Row],[Customer Name]]="", "",_xlfn.XLOOKUP(C92,Table7[Customer Name],Table7[Customer ID]," "))</f>
        <v>C-027</v>
      </c>
      <c r="E92" t="s">
        <v>279</v>
      </c>
      <c r="F92" t="s">
        <v>282</v>
      </c>
      <c r="G92">
        <v>10</v>
      </c>
      <c r="H92">
        <v>2.5</v>
      </c>
      <c r="I92">
        <v>21500</v>
      </c>
      <c r="J92">
        <v>390</v>
      </c>
      <c r="K92">
        <v>96</v>
      </c>
      <c r="L92">
        <f>IF(OR(Table1[[#This Row],[Quantity]]="",Table1[[#This Row],[Length (cm)]]=""),"",(Table1[[#This Row],[Width (cm)]]/100)*(Table1[[#This Row],[Thickness (cm)]]/100)*(Table1[[#This Row],[Length (cm)]]/100)*Table1[[#This Row],[Quantity]])</f>
        <v>0.93600000000000017</v>
      </c>
      <c r="M92">
        <f>IF(Table1[[#This Row],[Volume (m³)]]="","",Table1[[#This Row],[Volume (m³)]]*Table1[[#This Row],[Price / m³]])</f>
        <v>20124.000000000004</v>
      </c>
      <c r="N92">
        <v>20150</v>
      </c>
      <c r="O92">
        <v>0</v>
      </c>
      <c r="P92" t="s">
        <v>285</v>
      </c>
      <c r="Q92">
        <v>19125</v>
      </c>
      <c r="R92" s="10">
        <f>Table1[[#This Row],[سعر المتر علينا]]*Table1[[#This Row],[Volume (m³)]]</f>
        <v>17901.000000000004</v>
      </c>
    </row>
    <row r="93" spans="1:18" x14ac:dyDescent="0.3">
      <c r="A93" t="s">
        <v>78</v>
      </c>
      <c r="B93" s="3">
        <v>46198</v>
      </c>
      <c r="C93" t="s">
        <v>240</v>
      </c>
      <c r="D93" t="str">
        <f>IF(Table1[[#This Row],[Customer Name]]="", "",_xlfn.XLOOKUP(C93,Table7[Customer Name],Table7[Customer ID]," "))</f>
        <v>C-027</v>
      </c>
      <c r="E93" t="s">
        <v>279</v>
      </c>
      <c r="F93" t="s">
        <v>282</v>
      </c>
      <c r="G93">
        <v>10</v>
      </c>
      <c r="H93">
        <v>2.5</v>
      </c>
      <c r="I93">
        <v>21500</v>
      </c>
      <c r="J93">
        <v>420</v>
      </c>
      <c r="K93">
        <v>68</v>
      </c>
      <c r="L93">
        <f>IF(OR(Table1[[#This Row],[Quantity]]="",Table1[[#This Row],[Length (cm)]]=""),"",(Table1[[#This Row],[Width (cm)]]/100)*(Table1[[#This Row],[Thickness (cm)]]/100)*(Table1[[#This Row],[Length (cm)]]/100)*Table1[[#This Row],[Quantity]])</f>
        <v>0.71400000000000019</v>
      </c>
      <c r="M93">
        <f>IF(Table1[[#This Row],[Volume (m³)]]="","",Table1[[#This Row],[Volume (m³)]]*Table1[[#This Row],[Price / m³]])</f>
        <v>15351.000000000004</v>
      </c>
      <c r="N93">
        <v>15350</v>
      </c>
      <c r="O93">
        <v>0</v>
      </c>
      <c r="P93" t="s">
        <v>285</v>
      </c>
      <c r="Q93">
        <v>19125</v>
      </c>
      <c r="R93" s="10">
        <f>Table1[[#This Row],[سعر المتر علينا]]*Table1[[#This Row],[Volume (m³)]]</f>
        <v>13655.250000000004</v>
      </c>
    </row>
    <row r="94" spans="1:18" x14ac:dyDescent="0.3">
      <c r="A94" t="s">
        <v>78</v>
      </c>
      <c r="B94" s="3">
        <v>46198</v>
      </c>
      <c r="C94" t="s">
        <v>240</v>
      </c>
      <c r="D94" t="str">
        <f>IF(Table1[[#This Row],[Customer Name]]="", "",_xlfn.XLOOKUP(C94,Table7[Customer Name],Table7[Customer ID]," "))</f>
        <v>C-027</v>
      </c>
      <c r="E94" t="s">
        <v>279</v>
      </c>
      <c r="F94" t="s">
        <v>282</v>
      </c>
      <c r="G94">
        <v>10</v>
      </c>
      <c r="H94">
        <v>2.5</v>
      </c>
      <c r="I94">
        <v>21500</v>
      </c>
      <c r="J94">
        <v>450</v>
      </c>
      <c r="K94">
        <v>31</v>
      </c>
      <c r="L94">
        <f>IF(OR(Table1[[#This Row],[Quantity]]="",Table1[[#This Row],[Length (cm)]]=""),"",(Table1[[#This Row],[Width (cm)]]/100)*(Table1[[#This Row],[Thickness (cm)]]/100)*(Table1[[#This Row],[Length (cm)]]/100)*Table1[[#This Row],[Quantity]])</f>
        <v>0.34875000000000012</v>
      </c>
      <c r="M94">
        <f>IF(Table1[[#This Row],[Volume (m³)]]="","",Table1[[#This Row],[Volume (m³)]]*Table1[[#This Row],[Price / m³]])</f>
        <v>7498.1250000000027</v>
      </c>
      <c r="N94">
        <v>7500</v>
      </c>
      <c r="O94">
        <v>0</v>
      </c>
      <c r="P94" t="s">
        <v>285</v>
      </c>
      <c r="Q94">
        <v>19125</v>
      </c>
      <c r="R94" s="10">
        <f>Table1[[#This Row],[سعر المتر علينا]]*Table1[[#This Row],[Volume (m³)]]</f>
        <v>6669.8437500000018</v>
      </c>
    </row>
    <row r="95" spans="1:18" x14ac:dyDescent="0.3">
      <c r="A95" t="s">
        <v>80</v>
      </c>
      <c r="B95" s="3">
        <v>46189</v>
      </c>
      <c r="C95" t="s">
        <v>223</v>
      </c>
      <c r="D95" t="str">
        <f>IF(Table1[[#This Row],[Customer Name]]="", "",_xlfn.XLOOKUP(C95,Table7[Customer Name],Table7[Customer ID]," "))</f>
        <v>C-003</v>
      </c>
      <c r="E95" t="s">
        <v>278</v>
      </c>
      <c r="F95" t="s">
        <v>282</v>
      </c>
      <c r="G95">
        <v>10</v>
      </c>
      <c r="H95">
        <v>2.5</v>
      </c>
      <c r="I95">
        <v>19600</v>
      </c>
      <c r="J95">
        <v>300</v>
      </c>
      <c r="K95">
        <v>15</v>
      </c>
      <c r="L95">
        <f>IF(OR(Table1[[#This Row],[Quantity]]="",Table1[[#This Row],[Length (cm)]]=""),"",(Table1[[#This Row],[Width (cm)]]/100)*(Table1[[#This Row],[Thickness (cm)]]/100)*(Table1[[#This Row],[Length (cm)]]/100)*Table1[[#This Row],[Quantity]])</f>
        <v>0.11250000000000002</v>
      </c>
      <c r="M95">
        <f>IF(Table1[[#This Row],[Volume (m³)]]="","",Table1[[#This Row],[Volume (m³)]]*Table1[[#This Row],[Price / m³]])</f>
        <v>2205.0000000000005</v>
      </c>
      <c r="N95">
        <v>2200</v>
      </c>
      <c r="O95">
        <v>0</v>
      </c>
      <c r="P95" t="s">
        <v>286</v>
      </c>
      <c r="Q95">
        <v>19125</v>
      </c>
      <c r="R95" s="10">
        <f>Table1[[#This Row],[سعر المتر علينا]]*Table1[[#This Row],[Volume (m³)]]</f>
        <v>2151.5625000000005</v>
      </c>
    </row>
    <row r="96" spans="1:18" x14ac:dyDescent="0.3">
      <c r="A96" t="s">
        <v>80</v>
      </c>
      <c r="B96" s="3">
        <v>46189</v>
      </c>
      <c r="C96" t="s">
        <v>223</v>
      </c>
      <c r="D96" t="str">
        <f>IF(Table1[[#This Row],[Customer Name]]="", "",_xlfn.XLOOKUP(C96,Table7[Customer Name],Table7[Customer ID]," "))</f>
        <v>C-003</v>
      </c>
      <c r="E96" t="s">
        <v>278</v>
      </c>
      <c r="F96" t="s">
        <v>282</v>
      </c>
      <c r="G96">
        <v>10</v>
      </c>
      <c r="H96">
        <v>2.5</v>
      </c>
      <c r="I96">
        <v>19600</v>
      </c>
      <c r="J96">
        <v>330</v>
      </c>
      <c r="K96">
        <v>10</v>
      </c>
      <c r="L96">
        <f>IF(OR(Table1[[#This Row],[Quantity]]="",Table1[[#This Row],[Length (cm)]]=""),"",(Table1[[#This Row],[Width (cm)]]/100)*(Table1[[#This Row],[Thickness (cm)]]/100)*(Table1[[#This Row],[Length (cm)]]/100)*Table1[[#This Row],[Quantity]])</f>
        <v>8.2500000000000004E-2</v>
      </c>
      <c r="M96">
        <f>IF(Table1[[#This Row],[Volume (m³)]]="","",Table1[[#This Row],[Volume (m³)]]*Table1[[#This Row],[Price / m³]])</f>
        <v>1617</v>
      </c>
      <c r="N96">
        <v>1600</v>
      </c>
      <c r="O96">
        <v>0</v>
      </c>
      <c r="P96" t="s">
        <v>286</v>
      </c>
      <c r="Q96">
        <v>19125</v>
      </c>
      <c r="R96" s="10">
        <f>Table1[[#This Row],[سعر المتر علينا]]*Table1[[#This Row],[Volume (m³)]]</f>
        <v>1577.8125</v>
      </c>
    </row>
    <row r="97" spans="1:18" x14ac:dyDescent="0.3">
      <c r="A97" t="s">
        <v>80</v>
      </c>
      <c r="B97" s="3">
        <v>46189</v>
      </c>
      <c r="C97" t="s">
        <v>223</v>
      </c>
      <c r="D97" t="str">
        <f>IF(Table1[[#This Row],[Customer Name]]="", "",_xlfn.XLOOKUP(C97,Table7[Customer Name],Table7[Customer ID]," "))</f>
        <v>C-003</v>
      </c>
      <c r="E97" t="s">
        <v>278</v>
      </c>
      <c r="F97" t="s">
        <v>282</v>
      </c>
      <c r="G97">
        <v>12.5</v>
      </c>
      <c r="H97">
        <v>2.5</v>
      </c>
      <c r="I97">
        <v>17000</v>
      </c>
      <c r="J97">
        <v>330</v>
      </c>
      <c r="K97">
        <v>25</v>
      </c>
      <c r="L97">
        <f>IF(OR(Table1[[#This Row],[Quantity]]="",Table1[[#This Row],[Length (cm)]]=""),"",(Table1[[#This Row],[Width (cm)]]/100)*(Table1[[#This Row],[Thickness (cm)]]/100)*(Table1[[#This Row],[Length (cm)]]/100)*Table1[[#This Row],[Quantity]])</f>
        <v>0.2578125</v>
      </c>
      <c r="M97">
        <f>IF(Table1[[#This Row],[Volume (m³)]]="","",Table1[[#This Row],[Volume (m³)]]*Table1[[#This Row],[Price / m³]])</f>
        <v>4382.8125</v>
      </c>
      <c r="N97">
        <v>4380</v>
      </c>
      <c r="O97">
        <v>0</v>
      </c>
      <c r="P97" t="s">
        <v>286</v>
      </c>
      <c r="Q97">
        <v>19125</v>
      </c>
      <c r="R97" s="10">
        <f>Table1[[#This Row],[سعر المتر علينا]]*Table1[[#This Row],[Volume (m³)]]</f>
        <v>4930.6640625</v>
      </c>
    </row>
    <row r="98" spans="1:18" x14ac:dyDescent="0.3">
      <c r="A98" t="s">
        <v>84</v>
      </c>
      <c r="B98" s="3">
        <v>46198</v>
      </c>
      <c r="C98" t="s">
        <v>232</v>
      </c>
      <c r="D98" t="str">
        <f>IF(Table1[[#This Row],[Customer Name]]="", "",_xlfn.XLOOKUP(C98,Table7[Customer Name],Table7[Customer ID]," "))</f>
        <v>C-036</v>
      </c>
      <c r="E98" t="s">
        <v>278</v>
      </c>
      <c r="F98" t="s">
        <v>283</v>
      </c>
      <c r="G98">
        <v>12.5</v>
      </c>
      <c r="H98">
        <v>2.5</v>
      </c>
      <c r="I98">
        <v>19000</v>
      </c>
      <c r="J98">
        <v>90</v>
      </c>
      <c r="K98">
        <v>1</v>
      </c>
      <c r="L98">
        <f>IF(OR(Table1[[#This Row],[Quantity]]="",Table1[[#This Row],[Length (cm)]]=""),"",(Table1[[#This Row],[Width (cm)]]/100)*(Table1[[#This Row],[Thickness (cm)]]/100)*(Table1[[#This Row],[Length (cm)]]/100)*Table1[[#This Row],[Quantity]])</f>
        <v>2.8125000000000003E-3</v>
      </c>
      <c r="M98">
        <f>IF(Table1[[#This Row],[Volume (m³)]]="","",Table1[[#This Row],[Volume (m³)]]*Table1[[#This Row],[Price / m³]])</f>
        <v>53.437500000000007</v>
      </c>
      <c r="N98">
        <v>50</v>
      </c>
      <c r="O98">
        <v>50</v>
      </c>
      <c r="P98" t="s">
        <v>288</v>
      </c>
      <c r="Q98">
        <v>19125</v>
      </c>
      <c r="R98" s="10">
        <f>Table1[[#This Row],[سعر المتر علينا]]*Table1[[#This Row],[Volume (m³)]]</f>
        <v>53.789062500000007</v>
      </c>
    </row>
    <row r="99" spans="1:18" x14ac:dyDescent="0.3">
      <c r="A99" t="s">
        <v>95</v>
      </c>
      <c r="B99" s="3">
        <v>46200</v>
      </c>
      <c r="C99" t="s">
        <v>226</v>
      </c>
      <c r="D99" t="str">
        <f>IF(Table1[[#This Row],[Customer Name]]="", "",_xlfn.XLOOKUP(C99,Table7[Customer Name],Table7[Customer ID]," "))</f>
        <v>C-012</v>
      </c>
      <c r="E99" t="s">
        <v>278</v>
      </c>
      <c r="F99" t="s">
        <v>282</v>
      </c>
      <c r="G99">
        <v>10</v>
      </c>
      <c r="H99">
        <v>2.5</v>
      </c>
      <c r="I99">
        <v>21000</v>
      </c>
      <c r="J99">
        <v>450</v>
      </c>
      <c r="K99">
        <v>10</v>
      </c>
      <c r="L99">
        <f>IF(OR(Table1[[#This Row],[Quantity]]="",Table1[[#This Row],[Length (cm)]]=""),"",(Table1[[#This Row],[Width (cm)]]/100)*(Table1[[#This Row],[Thickness (cm)]]/100)*(Table1[[#This Row],[Length (cm)]]/100)*Table1[[#This Row],[Quantity]])</f>
        <v>0.11250000000000003</v>
      </c>
      <c r="M99">
        <f>IF(Table1[[#This Row],[Volume (m³)]]="","",Table1[[#This Row],[Volume (m³)]]*Table1[[#This Row],[Price / m³]])</f>
        <v>2362.5000000000005</v>
      </c>
      <c r="N99">
        <v>2350</v>
      </c>
      <c r="O99">
        <v>2350</v>
      </c>
      <c r="P99" t="s">
        <v>288</v>
      </c>
      <c r="Q99">
        <v>19125</v>
      </c>
      <c r="R99" s="10">
        <f>Table1[[#This Row],[سعر المتر علينا]]*Table1[[#This Row],[Volume (m³)]]</f>
        <v>2151.5625000000005</v>
      </c>
    </row>
    <row r="100" spans="1:18" x14ac:dyDescent="0.3">
      <c r="A100" t="s">
        <v>97</v>
      </c>
      <c r="B100" s="3">
        <v>46201</v>
      </c>
      <c r="C100" t="s">
        <v>246</v>
      </c>
      <c r="D100" t="str">
        <f>IF(Table1[[#This Row],[Customer Name]]="", "",_xlfn.XLOOKUP(C100,Table7[Customer Name],Table7[Customer ID]," "))</f>
        <v>C-037</v>
      </c>
      <c r="E100" t="s">
        <v>281</v>
      </c>
      <c r="F100" t="s">
        <v>284</v>
      </c>
      <c r="G100">
        <v>7.5</v>
      </c>
      <c r="H100">
        <v>7.5</v>
      </c>
      <c r="I100">
        <v>15000</v>
      </c>
      <c r="J100">
        <v>300</v>
      </c>
      <c r="K100">
        <v>10</v>
      </c>
      <c r="L100">
        <f>IF(OR(Table1[[#This Row],[Quantity]]="",Table1[[#This Row],[Length (cm)]]=""),"",(Table1[[#This Row],[Width (cm)]]/100)*(Table1[[#This Row],[Thickness (cm)]]/100)*(Table1[[#This Row],[Length (cm)]]/100)*Table1[[#This Row],[Quantity]])</f>
        <v>0.16875000000000001</v>
      </c>
      <c r="M100">
        <f>IF(Table1[[#This Row],[Volume (m³)]]="","",Table1[[#This Row],[Volume (m³)]]*Table1[[#This Row],[Price / m³]])</f>
        <v>2531.25</v>
      </c>
      <c r="N100">
        <v>2500</v>
      </c>
      <c r="O100">
        <v>2500</v>
      </c>
      <c r="P100" t="s">
        <v>288</v>
      </c>
      <c r="Q100">
        <v>19125</v>
      </c>
      <c r="R100" s="10">
        <f>Table1[[#This Row],[سعر المتر علينا]]*Table1[[#This Row],[Volume (m³)]]</f>
        <v>3227.34375</v>
      </c>
    </row>
    <row r="101" spans="1:18" x14ac:dyDescent="0.3">
      <c r="A101" t="s">
        <v>98</v>
      </c>
      <c r="B101" s="3">
        <v>46200</v>
      </c>
      <c r="C101" t="s">
        <v>267</v>
      </c>
      <c r="D101" t="str">
        <f>IF(Table1[[#This Row],[Customer Name]]="", "",_xlfn.XLOOKUP(C101,Table7[Customer Name],Table7[Customer ID]," "))</f>
        <v>C-006</v>
      </c>
      <c r="E101" t="s">
        <v>278</v>
      </c>
      <c r="F101" t="s">
        <v>282</v>
      </c>
      <c r="G101">
        <v>10</v>
      </c>
      <c r="H101">
        <v>2.5</v>
      </c>
      <c r="I101">
        <v>21000</v>
      </c>
      <c r="J101">
        <v>270</v>
      </c>
      <c r="K101">
        <v>50</v>
      </c>
      <c r="L101">
        <f>IF(OR(Table1[[#This Row],[Quantity]]="",Table1[[#This Row],[Length (cm)]]=""),"",(Table1[[#This Row],[Width (cm)]]/100)*(Table1[[#This Row],[Thickness (cm)]]/100)*(Table1[[#This Row],[Length (cm)]]/100)*Table1[[#This Row],[Quantity]])</f>
        <v>0.33750000000000008</v>
      </c>
      <c r="M101">
        <f>IF(Table1[[#This Row],[Volume (m³)]]="","",Table1[[#This Row],[Volume (m³)]]*Table1[[#This Row],[Price / m³]])</f>
        <v>7087.5000000000018</v>
      </c>
      <c r="N101">
        <v>7090</v>
      </c>
      <c r="O101">
        <v>5000</v>
      </c>
      <c r="P101" t="s">
        <v>285</v>
      </c>
      <c r="Q101">
        <v>19125</v>
      </c>
      <c r="R101" s="10">
        <f>Table1[[#This Row],[سعر المتر علينا]]*Table1[[#This Row],[Volume (m³)]]</f>
        <v>6454.6875000000018</v>
      </c>
    </row>
    <row r="102" spans="1:18" x14ac:dyDescent="0.3">
      <c r="A102" t="s">
        <v>98</v>
      </c>
      <c r="B102" s="3">
        <v>46200</v>
      </c>
      <c r="C102" t="s">
        <v>267</v>
      </c>
      <c r="D102" t="str">
        <f>IF(Table1[[#This Row],[Customer Name]]="", "",_xlfn.XLOOKUP(C102,Table7[Customer Name],Table7[Customer ID]," "))</f>
        <v>C-006</v>
      </c>
      <c r="E102" t="s">
        <v>278</v>
      </c>
      <c r="F102" t="s">
        <v>282</v>
      </c>
      <c r="G102">
        <v>10</v>
      </c>
      <c r="H102">
        <v>2.5</v>
      </c>
      <c r="I102">
        <v>21000</v>
      </c>
      <c r="J102">
        <v>330</v>
      </c>
      <c r="K102">
        <v>50</v>
      </c>
      <c r="L102">
        <f>IF(OR(Table1[[#This Row],[Quantity]]="",Table1[[#This Row],[Length (cm)]]=""),"",(Table1[[#This Row],[Width (cm)]]/100)*(Table1[[#This Row],[Thickness (cm)]]/100)*(Table1[[#This Row],[Length (cm)]]/100)*Table1[[#This Row],[Quantity]])</f>
        <v>0.41250000000000003</v>
      </c>
      <c r="M102">
        <f>IF(Table1[[#This Row],[Volume (m³)]]="","",Table1[[#This Row],[Volume (m³)]]*Table1[[#This Row],[Price / m³]])</f>
        <v>8662.5</v>
      </c>
      <c r="N102">
        <v>8660</v>
      </c>
      <c r="O102">
        <v>5000</v>
      </c>
      <c r="P102" t="s">
        <v>285</v>
      </c>
      <c r="Q102">
        <v>19125</v>
      </c>
      <c r="R102" s="10">
        <f>Table1[[#This Row],[سعر المتر علينا]]*Table1[[#This Row],[Volume (m³)]]</f>
        <v>7889.0625000000009</v>
      </c>
    </row>
    <row r="103" spans="1:18" x14ac:dyDescent="0.3">
      <c r="A103" t="s">
        <v>99</v>
      </c>
      <c r="B103" s="3">
        <v>46201</v>
      </c>
      <c r="C103" t="s">
        <v>224</v>
      </c>
      <c r="D103" t="str">
        <f>IF(Table1[[#This Row],[Customer Name]]="", "",_xlfn.XLOOKUP(C103,Table7[Customer Name],Table7[Customer ID]," "))</f>
        <v>C-007</v>
      </c>
      <c r="E103" t="s">
        <v>278</v>
      </c>
      <c r="F103" t="s">
        <v>282</v>
      </c>
      <c r="G103">
        <v>10</v>
      </c>
      <c r="H103">
        <v>2.5</v>
      </c>
      <c r="I103">
        <v>21000</v>
      </c>
      <c r="J103">
        <v>300</v>
      </c>
      <c r="K103">
        <v>40</v>
      </c>
      <c r="L103">
        <f>IF(OR(Table1[[#This Row],[Quantity]]="",Table1[[#This Row],[Length (cm)]]=""),"",(Table1[[#This Row],[Width (cm)]]/100)*(Table1[[#This Row],[Thickness (cm)]]/100)*(Table1[[#This Row],[Length (cm)]]/100)*Table1[[#This Row],[Quantity]])</f>
        <v>0.30000000000000004</v>
      </c>
      <c r="M103">
        <f>IF(Table1[[#This Row],[Volume (m³)]]="","",Table1[[#This Row],[Volume (m³)]]*Table1[[#This Row],[Price / m³]])</f>
        <v>6300.0000000000009</v>
      </c>
      <c r="N103">
        <v>6300</v>
      </c>
      <c r="O103">
        <v>0</v>
      </c>
      <c r="P103" t="s">
        <v>285</v>
      </c>
      <c r="Q103">
        <v>19125</v>
      </c>
      <c r="R103" s="10">
        <f>Table1[[#This Row],[سعر المتر علينا]]*Table1[[#This Row],[Volume (m³)]]</f>
        <v>5737.5000000000009</v>
      </c>
    </row>
    <row r="104" spans="1:18" x14ac:dyDescent="0.3">
      <c r="A104" t="s">
        <v>99</v>
      </c>
      <c r="B104" s="3">
        <v>46201</v>
      </c>
      <c r="C104" t="s">
        <v>224</v>
      </c>
      <c r="D104" t="str">
        <f>IF(Table1[[#This Row],[Customer Name]]="", "",_xlfn.XLOOKUP(C104,Table7[Customer Name],Table7[Customer ID]," "))</f>
        <v>C-007</v>
      </c>
      <c r="E104" t="s">
        <v>278</v>
      </c>
      <c r="F104" t="s">
        <v>282</v>
      </c>
      <c r="G104">
        <v>10</v>
      </c>
      <c r="H104">
        <v>2.5</v>
      </c>
      <c r="I104">
        <v>21000</v>
      </c>
      <c r="J104">
        <v>420</v>
      </c>
      <c r="K104">
        <v>40</v>
      </c>
      <c r="L104">
        <f>IF(OR(Table1[[#This Row],[Quantity]]="",Table1[[#This Row],[Length (cm)]]=""),"",(Table1[[#This Row],[Width (cm)]]/100)*(Table1[[#This Row],[Thickness (cm)]]/100)*(Table1[[#This Row],[Length (cm)]]/100)*Table1[[#This Row],[Quantity]])</f>
        <v>0.4200000000000001</v>
      </c>
      <c r="M104">
        <f>IF(Table1[[#This Row],[Volume (m³)]]="","",Table1[[#This Row],[Volume (m³)]]*Table1[[#This Row],[Price / m³]])</f>
        <v>8820.0000000000018</v>
      </c>
      <c r="N104">
        <v>8820</v>
      </c>
      <c r="O104">
        <v>0</v>
      </c>
      <c r="P104" t="s">
        <v>285</v>
      </c>
      <c r="Q104">
        <v>19125</v>
      </c>
      <c r="R104" s="10">
        <f>Table1[[#This Row],[سعر المتر علينا]]*Table1[[#This Row],[Volume (m³)]]</f>
        <v>8032.5000000000018</v>
      </c>
    </row>
    <row r="105" spans="1:18" x14ac:dyDescent="0.3">
      <c r="A105" t="s">
        <v>99</v>
      </c>
      <c r="B105" s="3">
        <v>46201</v>
      </c>
      <c r="C105" t="s">
        <v>224</v>
      </c>
      <c r="D105" t="str">
        <f>IF(Table1[[#This Row],[Customer Name]]="", "",_xlfn.XLOOKUP(C105,Table7[Customer Name],Table7[Customer ID]," "))</f>
        <v>C-007</v>
      </c>
      <c r="E105" t="s">
        <v>278</v>
      </c>
      <c r="F105" t="s">
        <v>282</v>
      </c>
      <c r="G105">
        <v>10</v>
      </c>
      <c r="H105">
        <v>2.5</v>
      </c>
      <c r="I105">
        <v>21000</v>
      </c>
      <c r="J105">
        <v>480</v>
      </c>
      <c r="K105">
        <v>126</v>
      </c>
      <c r="L105">
        <f>IF(OR(Table1[[#This Row],[Quantity]]="",Table1[[#This Row],[Length (cm)]]=""),"",(Table1[[#This Row],[Width (cm)]]/100)*(Table1[[#This Row],[Thickness (cm)]]/100)*(Table1[[#This Row],[Length (cm)]]/100)*Table1[[#This Row],[Quantity]])</f>
        <v>1.5120000000000002</v>
      </c>
      <c r="M105">
        <f>IF(Table1[[#This Row],[Volume (m³)]]="","",Table1[[#This Row],[Volume (m³)]]*Table1[[#This Row],[Price / m³]])</f>
        <v>31752.000000000004</v>
      </c>
      <c r="N105">
        <v>31755</v>
      </c>
      <c r="O105">
        <v>25000</v>
      </c>
      <c r="P105" t="s">
        <v>285</v>
      </c>
      <c r="Q105">
        <v>19125</v>
      </c>
      <c r="R105" s="10">
        <f>Table1[[#This Row],[سعر المتر علينا]]*Table1[[#This Row],[Volume (m³)]]</f>
        <v>28917.000000000004</v>
      </c>
    </row>
    <row r="106" spans="1:18" x14ac:dyDescent="0.3">
      <c r="A106" t="s">
        <v>103</v>
      </c>
      <c r="B106" s="3">
        <v>46201</v>
      </c>
      <c r="C106" t="s">
        <v>268</v>
      </c>
      <c r="D106" t="str">
        <f>IF(Table1[[#This Row],[Customer Name]]="", "",_xlfn.XLOOKUP(C106,Table7[Customer Name],Table7[Customer ID]," "))</f>
        <v>C-008</v>
      </c>
      <c r="E106" t="s">
        <v>278</v>
      </c>
      <c r="F106" t="s">
        <v>283</v>
      </c>
      <c r="G106">
        <v>10</v>
      </c>
      <c r="H106">
        <v>2.5</v>
      </c>
      <c r="I106">
        <v>21000</v>
      </c>
      <c r="J106">
        <v>120</v>
      </c>
      <c r="K106">
        <v>27</v>
      </c>
      <c r="L106">
        <f>IF(OR(Table1[[#This Row],[Quantity]]="",Table1[[#This Row],[Length (cm)]]=""),"",(Table1[[#This Row],[Width (cm)]]/100)*(Table1[[#This Row],[Thickness (cm)]]/100)*(Table1[[#This Row],[Length (cm)]]/100)*Table1[[#This Row],[Quantity]])</f>
        <v>8.1000000000000016E-2</v>
      </c>
      <c r="M106">
        <f>IF(Table1[[#This Row],[Volume (m³)]]="","",Table1[[#This Row],[Volume (m³)]]*Table1[[#This Row],[Price / m³]])</f>
        <v>1701.0000000000005</v>
      </c>
      <c r="N106">
        <v>1700</v>
      </c>
      <c r="O106">
        <v>1700</v>
      </c>
      <c r="P106" t="s">
        <v>288</v>
      </c>
      <c r="Q106">
        <v>19125</v>
      </c>
      <c r="R106" s="10">
        <f>Table1[[#This Row],[سعر المتر علينا]]*Table1[[#This Row],[Volume (m³)]]</f>
        <v>1549.1250000000002</v>
      </c>
    </row>
    <row r="107" spans="1:18" x14ac:dyDescent="0.3">
      <c r="A107" t="s">
        <v>103</v>
      </c>
      <c r="B107" s="3">
        <v>46201</v>
      </c>
      <c r="C107" t="s">
        <v>268</v>
      </c>
      <c r="D107" t="str">
        <f>IF(Table1[[#This Row],[Customer Name]]="", "",_xlfn.XLOOKUP(C107,Table7[Customer Name],Table7[Customer ID]," "))</f>
        <v>C-008</v>
      </c>
      <c r="E107" t="s">
        <v>278</v>
      </c>
      <c r="F107" t="s">
        <v>283</v>
      </c>
      <c r="G107">
        <v>10</v>
      </c>
      <c r="H107">
        <v>2.5</v>
      </c>
      <c r="I107">
        <v>21000</v>
      </c>
      <c r="J107">
        <v>150</v>
      </c>
      <c r="K107">
        <v>10</v>
      </c>
      <c r="L107">
        <f>IF(OR(Table1[[#This Row],[Quantity]]="",Table1[[#This Row],[Length (cm)]]=""),"",(Table1[[#This Row],[Width (cm)]]/100)*(Table1[[#This Row],[Thickness (cm)]]/100)*(Table1[[#This Row],[Length (cm)]]/100)*Table1[[#This Row],[Quantity]])</f>
        <v>3.7500000000000006E-2</v>
      </c>
      <c r="M107">
        <f>IF(Table1[[#This Row],[Volume (m³)]]="","",Table1[[#This Row],[Volume (m³)]]*Table1[[#This Row],[Price / m³]])</f>
        <v>787.50000000000011</v>
      </c>
      <c r="N107">
        <v>800</v>
      </c>
      <c r="O107">
        <v>800</v>
      </c>
      <c r="P107" t="s">
        <v>288</v>
      </c>
      <c r="Q107">
        <v>19125</v>
      </c>
      <c r="R107" s="10">
        <f>Table1[[#This Row],[سعر المتر علينا]]*Table1[[#This Row],[Volume (m³)]]</f>
        <v>717.18750000000011</v>
      </c>
    </row>
    <row r="108" spans="1:18" x14ac:dyDescent="0.3">
      <c r="A108" t="s">
        <v>103</v>
      </c>
      <c r="B108" s="3">
        <v>46201</v>
      </c>
      <c r="C108" t="s">
        <v>268</v>
      </c>
      <c r="D108" t="str">
        <f>IF(Table1[[#This Row],[Customer Name]]="", "",_xlfn.XLOOKUP(C108,Table7[Customer Name],Table7[Customer ID]," "))</f>
        <v>C-008</v>
      </c>
      <c r="E108" t="s">
        <v>278</v>
      </c>
      <c r="F108" t="s">
        <v>282</v>
      </c>
      <c r="G108">
        <v>12.5</v>
      </c>
      <c r="H108">
        <v>2.5</v>
      </c>
      <c r="I108">
        <v>19500</v>
      </c>
      <c r="J108">
        <v>420</v>
      </c>
      <c r="K108">
        <v>2</v>
      </c>
      <c r="L108">
        <f>IF(OR(Table1[[#This Row],[Quantity]]="",Table1[[#This Row],[Length (cm)]]=""),"",(Table1[[#This Row],[Width (cm)]]/100)*(Table1[[#This Row],[Thickness (cm)]]/100)*(Table1[[#This Row],[Length (cm)]]/100)*Table1[[#This Row],[Quantity]])</f>
        <v>2.6250000000000002E-2</v>
      </c>
      <c r="M108">
        <f>IF(Table1[[#This Row],[Volume (m³)]]="","",Table1[[#This Row],[Volume (m³)]]*Table1[[#This Row],[Price / m³]])</f>
        <v>511.87500000000006</v>
      </c>
      <c r="N108">
        <v>500</v>
      </c>
      <c r="O108">
        <v>500</v>
      </c>
      <c r="P108" t="s">
        <v>288</v>
      </c>
      <c r="Q108">
        <v>19125</v>
      </c>
      <c r="R108" s="10">
        <f>Table1[[#This Row],[سعر المتر علينا]]*Table1[[#This Row],[Volume (m³)]]</f>
        <v>502.03125000000006</v>
      </c>
    </row>
    <row r="109" spans="1:18" x14ac:dyDescent="0.3">
      <c r="A109" t="s">
        <v>104</v>
      </c>
      <c r="B109" s="3">
        <v>46202</v>
      </c>
      <c r="C109" t="s">
        <v>224</v>
      </c>
      <c r="D109" t="str">
        <f>IF(Table1[[#This Row],[Customer Name]]="", "",_xlfn.XLOOKUP(C109,Table7[Customer Name],Table7[Customer ID]," "))</f>
        <v>C-007</v>
      </c>
      <c r="E109" t="s">
        <v>278</v>
      </c>
      <c r="F109" t="s">
        <v>282</v>
      </c>
      <c r="G109">
        <v>10</v>
      </c>
      <c r="H109">
        <v>2.5</v>
      </c>
      <c r="I109">
        <v>21000</v>
      </c>
      <c r="J109">
        <v>300</v>
      </c>
      <c r="K109">
        <v>40</v>
      </c>
      <c r="L109">
        <f>IF(OR(Table1[[#This Row],[Quantity]]="",Table1[[#This Row],[Length (cm)]]=""),"",(Table1[[#This Row],[Width (cm)]]/100)*(Table1[[#This Row],[Thickness (cm)]]/100)*(Table1[[#This Row],[Length (cm)]]/100)*Table1[[#This Row],[Quantity]])</f>
        <v>0.30000000000000004</v>
      </c>
      <c r="M109">
        <f>IF(Table1[[#This Row],[Volume (m³)]]="","",Table1[[#This Row],[Volume (m³)]]*Table1[[#This Row],[Price / m³]])</f>
        <v>6300.0000000000009</v>
      </c>
      <c r="N109">
        <v>6300</v>
      </c>
      <c r="O109">
        <v>6300</v>
      </c>
      <c r="P109" t="s">
        <v>285</v>
      </c>
      <c r="Q109">
        <v>19125</v>
      </c>
      <c r="R109" s="10">
        <f>Table1[[#This Row],[سعر المتر علينا]]*Table1[[#This Row],[Volume (m³)]]</f>
        <v>5737.5000000000009</v>
      </c>
    </row>
    <row r="110" spans="1:18" x14ac:dyDescent="0.3">
      <c r="A110" t="s">
        <v>104</v>
      </c>
      <c r="B110" s="3">
        <v>46202</v>
      </c>
      <c r="C110" t="s">
        <v>224</v>
      </c>
      <c r="D110" t="str">
        <f>IF(Table1[[#This Row],[Customer Name]]="", "",_xlfn.XLOOKUP(C110,Table7[Customer Name],Table7[Customer ID]," "))</f>
        <v>C-007</v>
      </c>
      <c r="E110" t="s">
        <v>278</v>
      </c>
      <c r="F110" t="s">
        <v>282</v>
      </c>
      <c r="G110">
        <v>10</v>
      </c>
      <c r="H110">
        <v>2.5</v>
      </c>
      <c r="I110">
        <v>21000</v>
      </c>
      <c r="J110">
        <v>360</v>
      </c>
      <c r="K110">
        <v>10</v>
      </c>
      <c r="L110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9.0000000000000024E-2</v>
      </c>
      <c r="M110">
        <f>IF(Table1[[#This Row],[Volume (m³)]]="","",Table1[[#This Row],[Volume (m³)]]*Table1[[#This Row],[Price / m³]])</f>
        <v>1890.0000000000005</v>
      </c>
      <c r="N110">
        <v>1840</v>
      </c>
      <c r="O110">
        <v>490</v>
      </c>
      <c r="P110" t="s">
        <v>285</v>
      </c>
      <c r="Q110">
        <v>19125</v>
      </c>
      <c r="R110" s="10">
        <f>Table1[[#This Row],[سعر المتر علينا]]*Table1[[#This Row],[Volume (m³)]]</f>
        <v>1721.2500000000005</v>
      </c>
    </row>
    <row r="111" spans="1:18" x14ac:dyDescent="0.3">
      <c r="A111" t="s">
        <v>104</v>
      </c>
      <c r="B111" s="3">
        <v>46202</v>
      </c>
      <c r="C111" t="s">
        <v>224</v>
      </c>
      <c r="D111" t="str">
        <f>IF(Table1[[#This Row],[Customer Name]]="", "",_xlfn.XLOOKUP(C111,Table7[Customer Name],Table7[Customer ID]," "))</f>
        <v>C-007</v>
      </c>
      <c r="E111" t="s">
        <v>278</v>
      </c>
      <c r="F111" t="s">
        <v>282</v>
      </c>
      <c r="G111">
        <v>10</v>
      </c>
      <c r="H111">
        <v>2.5</v>
      </c>
      <c r="I111">
        <v>21000</v>
      </c>
      <c r="J111">
        <v>390</v>
      </c>
      <c r="K111">
        <v>5</v>
      </c>
      <c r="L111">
        <f>IF(OR(Table1[[#This Row],[Quantity]]="",Table1[[#This Row],[Length (cm)]]=""),"",(Table1[[#This Row],[Width (cm)]]/100)*(Table1[[#This Row],[Thickness (cm)]]/100)*(Table1[[#This Row],[Length (cm)]]/100)*Table1[[#This Row],[Quantity]])</f>
        <v>4.8750000000000009E-2</v>
      </c>
      <c r="M111">
        <f>IF(Table1[[#This Row],[Volume (m³)]]="","",Table1[[#This Row],[Volume (m³)]]*Table1[[#This Row],[Price / m³]])</f>
        <v>1023.7500000000002</v>
      </c>
      <c r="N111">
        <v>1000</v>
      </c>
      <c r="O111">
        <v>1025</v>
      </c>
      <c r="P111" t="s">
        <v>285</v>
      </c>
      <c r="Q111">
        <v>19125</v>
      </c>
      <c r="R111" s="10">
        <f>Table1[[#This Row],[سعر المتر علينا]]*Table1[[#This Row],[Volume (m³)]]</f>
        <v>932.34375000000011</v>
      </c>
    </row>
    <row r="112" spans="1:18" x14ac:dyDescent="0.3">
      <c r="A112" t="s">
        <v>104</v>
      </c>
      <c r="B112" s="3">
        <v>46202</v>
      </c>
      <c r="C112" t="s">
        <v>224</v>
      </c>
      <c r="D112" t="str">
        <f>IF(Table1[[#This Row],[Customer Name]]="", "",_xlfn.XLOOKUP(C112,Table7[Customer Name],Table7[Customer ID]," "))</f>
        <v>C-007</v>
      </c>
      <c r="E112" t="s">
        <v>278</v>
      </c>
      <c r="F112" t="s">
        <v>282</v>
      </c>
      <c r="G112">
        <v>10</v>
      </c>
      <c r="H112">
        <v>2.5</v>
      </c>
      <c r="I112">
        <v>21000</v>
      </c>
      <c r="J112">
        <v>420</v>
      </c>
      <c r="K112">
        <v>5</v>
      </c>
      <c r="L112">
        <f>IF(OR(Table1[[#This Row],[Quantity]]="",Table1[[#This Row],[Length (cm)]]=""),"",(Table1[[#This Row],[Width (cm)]]/100)*(Table1[[#This Row],[Thickness (cm)]]/100)*(Table1[[#This Row],[Length (cm)]]/100)*Table1[[#This Row],[Quantity]])</f>
        <v>5.2500000000000012E-2</v>
      </c>
      <c r="M112">
        <f>IF(Table1[[#This Row],[Volume (m³)]]="","",Table1[[#This Row],[Volume (m³)]]*Table1[[#This Row],[Price / m³]])</f>
        <v>1102.5000000000002</v>
      </c>
      <c r="N112">
        <v>1105</v>
      </c>
      <c r="O112">
        <v>1105</v>
      </c>
      <c r="P112" t="s">
        <v>285</v>
      </c>
      <c r="Q112">
        <v>19125</v>
      </c>
      <c r="R112" s="10">
        <f>Table1[[#This Row],[سعر المتر علينا]]*Table1[[#This Row],[Volume (m³)]]</f>
        <v>1004.0625000000002</v>
      </c>
    </row>
    <row r="113" spans="1:18" x14ac:dyDescent="0.3">
      <c r="A113" t="s">
        <v>104</v>
      </c>
      <c r="B113" s="3">
        <v>46202</v>
      </c>
      <c r="C113" t="s">
        <v>224</v>
      </c>
      <c r="D113" t="str">
        <f>IF(Table1[[#This Row],[Customer Name]]="", "",_xlfn.XLOOKUP(C113,Table7[Customer Name],Table7[Customer ID]," "))</f>
        <v>C-007</v>
      </c>
      <c r="E113" t="s">
        <v>278</v>
      </c>
      <c r="F113" t="s">
        <v>282</v>
      </c>
      <c r="G113">
        <v>10</v>
      </c>
      <c r="H113">
        <v>2.5</v>
      </c>
      <c r="I113">
        <v>21000</v>
      </c>
      <c r="J113">
        <v>480</v>
      </c>
      <c r="K113">
        <v>40</v>
      </c>
      <c r="L113">
        <f>IF(OR(Table1[[#This Row],[Quantity]]="",Table1[[#This Row],[Length (cm)]]=""),"",(Table1[[#This Row],[Width (cm)]]/100)*(Table1[[#This Row],[Thickness (cm)]]/100)*(Table1[[#This Row],[Length (cm)]]/100)*Table1[[#This Row],[Quantity]])</f>
        <v>0.48000000000000009</v>
      </c>
      <c r="M113">
        <f>IF(Table1[[#This Row],[Volume (m³)]]="","",Table1[[#This Row],[Volume (m³)]]*Table1[[#This Row],[Price / m³]])</f>
        <v>10080.000000000002</v>
      </c>
      <c r="N113">
        <v>10080</v>
      </c>
      <c r="O113">
        <v>10080</v>
      </c>
      <c r="P113" t="s">
        <v>285</v>
      </c>
      <c r="Q113">
        <v>19125</v>
      </c>
      <c r="R113" s="10">
        <f>Table1[[#This Row],[سعر المتر علينا]]*Table1[[#This Row],[Volume (m³)]]</f>
        <v>9180.0000000000018</v>
      </c>
    </row>
    <row r="114" spans="1:18" x14ac:dyDescent="0.3">
      <c r="A114" t="s">
        <v>104</v>
      </c>
      <c r="B114" s="3">
        <v>46202</v>
      </c>
      <c r="C114" t="s">
        <v>224</v>
      </c>
      <c r="D114" t="str">
        <f>IF(Table1[[#This Row],[Customer Name]]="", "",_xlfn.XLOOKUP(C114,Table7[Customer Name],Table7[Customer ID]," "))</f>
        <v>C-007</v>
      </c>
      <c r="E114" t="s">
        <v>278</v>
      </c>
      <c r="F114" t="s">
        <v>282</v>
      </c>
      <c r="G114">
        <v>10</v>
      </c>
      <c r="H114">
        <v>2.5</v>
      </c>
      <c r="I114">
        <v>21000</v>
      </c>
      <c r="J114">
        <v>510</v>
      </c>
      <c r="K114">
        <v>5</v>
      </c>
      <c r="L114">
        <f>IF(OR(Table1[[#This Row],[Quantity]]="",Table1[[#This Row],[Length (cm)]]=""),"",(Table1[[#This Row],[Width (cm)]]/100)*(Table1[[#This Row],[Thickness (cm)]]/100)*(Table1[[#This Row],[Length (cm)]]/100)*Table1[[#This Row],[Quantity]])</f>
        <v>6.3750000000000001E-2</v>
      </c>
      <c r="M114">
        <f>IF(Table1[[#This Row],[Volume (m³)]]="","",Table1[[#This Row],[Volume (m³)]]*Table1[[#This Row],[Price / m³]])</f>
        <v>1338.75</v>
      </c>
      <c r="N114">
        <v>1000</v>
      </c>
      <c r="O114">
        <v>1000</v>
      </c>
      <c r="P114" t="s">
        <v>285</v>
      </c>
      <c r="Q114">
        <v>19125</v>
      </c>
      <c r="R114" s="10">
        <f>Table1[[#This Row],[سعر المتر علينا]]*Table1[[#This Row],[Volume (m³)]]</f>
        <v>1219.21875</v>
      </c>
    </row>
    <row r="115" spans="1:18" x14ac:dyDescent="0.3">
      <c r="A115" t="s">
        <v>105</v>
      </c>
      <c r="B115" s="3">
        <v>46202</v>
      </c>
      <c r="C115" t="s">
        <v>270</v>
      </c>
      <c r="D115" t="str">
        <f>IF(Table1[[#This Row],[Customer Name]]="", "",_xlfn.XLOOKUP(C115,Table7[Customer Name],Table7[Customer ID]," "))</f>
        <v>C-011</v>
      </c>
      <c r="E115" t="s">
        <v>278</v>
      </c>
      <c r="F115" t="s">
        <v>282</v>
      </c>
      <c r="G115">
        <v>10</v>
      </c>
      <c r="H115">
        <v>2.5</v>
      </c>
      <c r="I115">
        <v>21000</v>
      </c>
      <c r="J115">
        <v>510</v>
      </c>
      <c r="K115">
        <v>35</v>
      </c>
      <c r="L115">
        <f>IF(OR(Table1[[#This Row],[Quantity]]="",Table1[[#This Row],[Length (cm)]]=""),"",(Table1[[#This Row],[Width (cm)]]/100)*(Table1[[#This Row],[Thickness (cm)]]/100)*(Table1[[#This Row],[Length (cm)]]/100)*Table1[[#This Row],[Quantity]])</f>
        <v>0.44625000000000004</v>
      </c>
      <c r="M115">
        <f>IF(Table1[[#This Row],[Volume (m³)]]="","",Table1[[#This Row],[Volume (m³)]]*Table1[[#This Row],[Price / m³]])</f>
        <v>9371.25</v>
      </c>
      <c r="N115">
        <v>9375</v>
      </c>
      <c r="O115">
        <v>5000</v>
      </c>
      <c r="P115" t="s">
        <v>285</v>
      </c>
      <c r="Q115">
        <v>19125</v>
      </c>
      <c r="R115" s="10">
        <f>Table1[[#This Row],[سعر المتر علينا]]*Table1[[#This Row],[Volume (m³)]]</f>
        <v>8534.53125</v>
      </c>
    </row>
    <row r="116" spans="1:18" x14ac:dyDescent="0.3">
      <c r="A116" s="4" t="s">
        <v>106</v>
      </c>
      <c r="B116" s="13">
        <v>46204</v>
      </c>
      <c r="C116" s="5" t="s">
        <v>246</v>
      </c>
      <c r="D116" t="str">
        <f>IF(Table1[[#This Row],[Customer Name]]="", "",_xlfn.XLOOKUP(C116,Table7[Customer Name],Table7[Customer ID]," "))</f>
        <v>C-037</v>
      </c>
      <c r="E116" s="5" t="s">
        <v>278</v>
      </c>
      <c r="F116" s="5" t="s">
        <v>282</v>
      </c>
      <c r="G116" s="5">
        <v>10</v>
      </c>
      <c r="H116" s="5">
        <v>2.5</v>
      </c>
      <c r="I116" s="5">
        <v>21000</v>
      </c>
      <c r="J116" s="5">
        <v>330</v>
      </c>
      <c r="K116" s="5">
        <v>2</v>
      </c>
      <c r="L116">
        <f>IF(OR(Table1[[#This Row],[Quantity]]="",Table1[[#This Row],[Length (cm)]]=""),"",(Table1[[#This Row],[Width (cm)]]/100)*(Table1[[#This Row],[Thickness (cm)]]/100)*(Table1[[#This Row],[Length (cm)]]/100)*Table1[[#This Row],[Quantity]])</f>
        <v>1.6500000000000001E-2</v>
      </c>
      <c r="M116">
        <f>IF(Table1[[#This Row],[Volume (m³)]]="","",Table1[[#This Row],[Volume (m³)]]*Table1[[#This Row],[Price / m³]])</f>
        <v>346.5</v>
      </c>
      <c r="N116" s="5">
        <v>345</v>
      </c>
      <c r="O116" s="5">
        <v>345</v>
      </c>
      <c r="P116" s="6" t="s">
        <v>288</v>
      </c>
      <c r="Q116">
        <v>19125</v>
      </c>
      <c r="R116" s="10">
        <f>Table1[[#This Row],[سعر المتر علينا]]*Table1[[#This Row],[Volume (m³)]]</f>
        <v>315.5625</v>
      </c>
    </row>
    <row r="117" spans="1:18" x14ac:dyDescent="0.3">
      <c r="A117" s="7" t="s">
        <v>106</v>
      </c>
      <c r="B117" s="14">
        <v>46204</v>
      </c>
      <c r="C117" s="8" t="s">
        <v>246</v>
      </c>
      <c r="D117" t="str">
        <f>IF(Table1[[#This Row],[Customer Name]]="", "",_xlfn.XLOOKUP(C117,Table7[Customer Name],Table7[Customer ID]," "))</f>
        <v>C-037</v>
      </c>
      <c r="E117" s="8" t="s">
        <v>278</v>
      </c>
      <c r="F117" s="8" t="s">
        <v>282</v>
      </c>
      <c r="G117" s="8">
        <v>10</v>
      </c>
      <c r="H117" s="8">
        <v>2.5</v>
      </c>
      <c r="I117" s="8">
        <v>21000</v>
      </c>
      <c r="J117" s="8">
        <v>300</v>
      </c>
      <c r="K117" s="8">
        <v>1</v>
      </c>
      <c r="L117">
        <f>IF(OR(Table1[[#This Row],[Quantity]]="",Table1[[#This Row],[Length (cm)]]=""),"",(Table1[[#This Row],[Width (cm)]]/100)*(Table1[[#This Row],[Thickness (cm)]]/100)*(Table1[[#This Row],[Length (cm)]]/100)*Table1[[#This Row],[Quantity]])</f>
        <v>7.5000000000000015E-3</v>
      </c>
      <c r="M117">
        <f>IF(Table1[[#This Row],[Volume (m³)]]="","",Table1[[#This Row],[Volume (m³)]]*Table1[[#This Row],[Price / m³]])</f>
        <v>157.50000000000003</v>
      </c>
      <c r="N117" s="8">
        <v>155</v>
      </c>
      <c r="O117" s="8">
        <v>155</v>
      </c>
      <c r="P117" s="9" t="s">
        <v>288</v>
      </c>
      <c r="Q117">
        <v>19125</v>
      </c>
      <c r="R117" s="10">
        <f>Table1[[#This Row],[سعر المتر علينا]]*Table1[[#This Row],[Volume (m³)]]</f>
        <v>143.43750000000003</v>
      </c>
    </row>
    <row r="118" spans="1:18" x14ac:dyDescent="0.3">
      <c r="A118" t="s">
        <v>108</v>
      </c>
      <c r="B118" s="3">
        <v>46204</v>
      </c>
      <c r="C118" t="s">
        <v>247</v>
      </c>
      <c r="D118" t="str">
        <f>IF(Table1[[#This Row],[Customer Name]]="", "",_xlfn.XLOOKUP(C118,Table7[Customer Name],Table7[Customer ID]," "))</f>
        <v>C-038</v>
      </c>
      <c r="E118" t="s">
        <v>278</v>
      </c>
      <c r="F118" s="8" t="s">
        <v>282</v>
      </c>
      <c r="G118" s="8">
        <v>10</v>
      </c>
      <c r="H118" s="8">
        <v>2.5</v>
      </c>
      <c r="I118" s="8">
        <v>21000</v>
      </c>
      <c r="J118" s="8">
        <v>360</v>
      </c>
      <c r="K118" s="8">
        <v>1</v>
      </c>
      <c r="L118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9.0000000000000028E-3</v>
      </c>
      <c r="M118">
        <f>IF(Table1[[#This Row],[Volume (m³)]]="","",Table1[[#This Row],[Volume (m³)]]*Table1[[#This Row],[Price / m³]])</f>
        <v>189.00000000000006</v>
      </c>
      <c r="N118">
        <v>190</v>
      </c>
      <c r="O118">
        <v>190</v>
      </c>
      <c r="P118" t="s">
        <v>288</v>
      </c>
      <c r="Q118">
        <v>19125</v>
      </c>
      <c r="R118" s="10">
        <f>Table1[[#This Row],[سعر المتر علينا]]*Table1[[#This Row],[Volume (m³)]]</f>
        <v>172.12500000000006</v>
      </c>
    </row>
    <row r="119" spans="1:18" x14ac:dyDescent="0.3">
      <c r="A119" t="s">
        <v>109</v>
      </c>
      <c r="B119" s="3">
        <v>46205</v>
      </c>
      <c r="C119" t="s">
        <v>248</v>
      </c>
      <c r="D119" t="str">
        <f>IF(Table1[[#This Row],[Customer Name]]="", "",_xlfn.XLOOKUP(C119,Table7[Customer Name],Table7[Customer ID]," "))</f>
        <v>C-039</v>
      </c>
      <c r="E119" t="s">
        <v>278</v>
      </c>
      <c r="F119" s="8" t="s">
        <v>282</v>
      </c>
      <c r="G119" s="8">
        <v>10</v>
      </c>
      <c r="H119" s="8">
        <v>2.5</v>
      </c>
      <c r="I119" s="8">
        <v>20700</v>
      </c>
      <c r="J119">
        <v>420</v>
      </c>
      <c r="K119">
        <v>95</v>
      </c>
      <c r="L119">
        <f>IF(OR(Table1[[#This Row],[Quantity]]="",Table1[[#This Row],[Length (cm)]]=""),"",(Table1[[#This Row],[Width (cm)]]/100)*(Table1[[#This Row],[Thickness (cm)]]/100)*(Table1[[#This Row],[Length (cm)]]/100)*Table1[[#This Row],[Quantity]])</f>
        <v>0.99750000000000028</v>
      </c>
      <c r="M119">
        <f>IF(Table1[[#This Row],[Volume (m³)]]="","",Table1[[#This Row],[Volume (m³)]]*Table1[[#This Row],[Price / m³]])</f>
        <v>20648.250000000007</v>
      </c>
      <c r="N119">
        <v>20700</v>
      </c>
      <c r="O119">
        <v>20700</v>
      </c>
      <c r="P119" t="s">
        <v>288</v>
      </c>
      <c r="Q119">
        <v>19125</v>
      </c>
      <c r="R119" s="10">
        <f>Table1[[#This Row],[سعر المتر علينا]]*Table1[[#This Row],[Volume (m³)]]</f>
        <v>19077.187500000004</v>
      </c>
    </row>
    <row r="120" spans="1:18" x14ac:dyDescent="0.3">
      <c r="A120" t="s">
        <v>111</v>
      </c>
      <c r="B120" s="3">
        <v>46207</v>
      </c>
      <c r="C120" t="s">
        <v>270</v>
      </c>
      <c r="D120" t="str">
        <f>IF(Table1[[#This Row],[Customer Name]]="", "",_xlfn.XLOOKUP(C120,Table7[Customer Name],Table7[Customer ID]," "))</f>
        <v>C-011</v>
      </c>
      <c r="E120" t="s">
        <v>278</v>
      </c>
      <c r="F120" s="8" t="s">
        <v>282</v>
      </c>
      <c r="G120" s="8">
        <v>10</v>
      </c>
      <c r="H120" s="8">
        <v>2.5</v>
      </c>
      <c r="I120" s="8">
        <v>21000</v>
      </c>
      <c r="J120">
        <v>480</v>
      </c>
      <c r="K120">
        <v>10</v>
      </c>
      <c r="L120">
        <f>IF(OR(Table1[[#This Row],[Quantity]]="",Table1[[#This Row],[Length (cm)]]=""),"",(Table1[[#This Row],[Width (cm)]]/100)*(Table1[[#This Row],[Thickness (cm)]]/100)*(Table1[[#This Row],[Length (cm)]]/100)*Table1[[#This Row],[Quantity]])</f>
        <v>0.12000000000000002</v>
      </c>
      <c r="M120">
        <f>IF(Table1[[#This Row],[Volume (m³)]]="","",Table1[[#This Row],[Volume (m³)]]*Table1[[#This Row],[Price / m³]])</f>
        <v>2520.0000000000005</v>
      </c>
      <c r="N120">
        <v>2520</v>
      </c>
      <c r="O120">
        <v>2520</v>
      </c>
      <c r="P120" t="s">
        <v>288</v>
      </c>
      <c r="Q120">
        <v>19125</v>
      </c>
      <c r="R120" s="10">
        <f>Table1[[#This Row],[سعر المتر علينا]]*Table1[[#This Row],[Volume (m³)]]</f>
        <v>2295.0000000000005</v>
      </c>
    </row>
    <row r="121" spans="1:18" x14ac:dyDescent="0.3">
      <c r="A121" t="s">
        <v>113</v>
      </c>
      <c r="B121" s="3">
        <v>46207</v>
      </c>
      <c r="C121" t="s">
        <v>254</v>
      </c>
      <c r="D121" t="str">
        <f>IF(Table1[[#This Row],[Customer Name]]="", "",_xlfn.XLOOKUP(C121,Table7[Customer Name],Table7[Customer ID]," "))</f>
        <v>C-045</v>
      </c>
      <c r="E121" t="s">
        <v>281</v>
      </c>
      <c r="F121" t="s">
        <v>284</v>
      </c>
      <c r="G121">
        <v>7.5</v>
      </c>
      <c r="H121">
        <v>7.5</v>
      </c>
      <c r="I121">
        <v>14500</v>
      </c>
      <c r="J121">
        <v>270</v>
      </c>
      <c r="K121">
        <v>60</v>
      </c>
      <c r="L121">
        <f>IF(OR(Table1[[#This Row],[Quantity]]="",Table1[[#This Row],[Length (cm)]]=""),"",(Table1[[#This Row],[Width (cm)]]/100)*(Table1[[#This Row],[Thickness (cm)]]/100)*(Table1[[#This Row],[Length (cm)]]/100)*Table1[[#This Row],[Quantity]])</f>
        <v>0.91125</v>
      </c>
      <c r="M121">
        <f>IF(Table1[[#This Row],[Volume (m³)]]="","",Table1[[#This Row],[Volume (m³)]]*Table1[[#This Row],[Price / m³]])</f>
        <v>13213.125</v>
      </c>
      <c r="N121">
        <v>13200</v>
      </c>
      <c r="O121">
        <v>13200</v>
      </c>
      <c r="P121" t="s">
        <v>288</v>
      </c>
      <c r="Q121">
        <v>19125</v>
      </c>
      <c r="R121" s="10">
        <f>Table1[[#This Row],[سعر المتر علينا]]*Table1[[#This Row],[Volume (m³)]]</f>
        <v>17427.65625</v>
      </c>
    </row>
    <row r="122" spans="1:18" x14ac:dyDescent="0.3">
      <c r="A122" t="s">
        <v>114</v>
      </c>
      <c r="B122" s="3">
        <v>46208</v>
      </c>
      <c r="C122" t="s">
        <v>249</v>
      </c>
      <c r="D122" t="str">
        <f>IF(Table1[[#This Row],[Customer Name]]="", "",_xlfn.XLOOKUP(C122,Table7[Customer Name],Table7[Customer ID]," "))</f>
        <v>C-040</v>
      </c>
      <c r="E122" t="s">
        <v>278</v>
      </c>
      <c r="F122" t="s">
        <v>282</v>
      </c>
      <c r="G122">
        <v>10</v>
      </c>
      <c r="H122">
        <v>2.5</v>
      </c>
      <c r="I122">
        <v>21000</v>
      </c>
      <c r="J122">
        <v>360</v>
      </c>
      <c r="K122">
        <v>55</v>
      </c>
      <c r="L122">
        <f>IF(OR(Table1[[#This Row],[Quantity]]="",Table1[[#This Row],[Length (cm)]]=""),"",(Table1[[#This Row],[Width (cm)]]/100)*(Table1[[#This Row],[Thickness (cm)]]/100)*(Table1[[#This Row],[Length (cm)]]/100)*Table1[[#This Row],[Quantity]])</f>
        <v>0.49500000000000016</v>
      </c>
      <c r="M122">
        <f>IF(Table1[[#This Row],[Volume (m³)]]="","",Table1[[#This Row],[Volume (m³)]]*Table1[[#This Row],[Price / m³]])</f>
        <v>10395.000000000004</v>
      </c>
      <c r="N122">
        <v>10500</v>
      </c>
      <c r="O122">
        <v>10500</v>
      </c>
      <c r="P122" t="s">
        <v>288</v>
      </c>
      <c r="Q122">
        <v>19125</v>
      </c>
      <c r="R122" s="10">
        <f>Table1[[#This Row],[سعر المتر علينا]]*Table1[[#This Row],[Volume (m³)]]</f>
        <v>9466.8750000000036</v>
      </c>
    </row>
    <row r="123" spans="1:18" x14ac:dyDescent="0.3">
      <c r="A123" t="s">
        <v>115</v>
      </c>
      <c r="B123" s="3">
        <v>46209</v>
      </c>
      <c r="C123" t="s">
        <v>268</v>
      </c>
      <c r="D123" t="str">
        <f>IF(Table1[[#This Row],[Customer Name]]="", "",_xlfn.XLOOKUP(C123,Table7[Customer Name],Table7[Customer ID]," "))</f>
        <v>C-008</v>
      </c>
      <c r="E123" t="s">
        <v>278</v>
      </c>
      <c r="F123" t="s">
        <v>282</v>
      </c>
      <c r="G123">
        <v>12.5</v>
      </c>
      <c r="H123">
        <v>2.5</v>
      </c>
      <c r="I123">
        <v>19000</v>
      </c>
      <c r="J123">
        <v>600</v>
      </c>
      <c r="K123">
        <v>5</v>
      </c>
      <c r="L123">
        <f>IF(OR(Table1[[#This Row],[Quantity]]="",Table1[[#This Row],[Length (cm)]]=""),"",(Table1[[#This Row],[Width (cm)]]/100)*(Table1[[#This Row],[Thickness (cm)]]/100)*(Table1[[#This Row],[Length (cm)]]/100)*Table1[[#This Row],[Quantity]])</f>
        <v>9.3750000000000014E-2</v>
      </c>
      <c r="M123">
        <f>IF(Table1[[#This Row],[Volume (m³)]]="","",Table1[[#This Row],[Volume (m³)]]*Table1[[#This Row],[Price / m³]])</f>
        <v>1781.2500000000002</v>
      </c>
      <c r="N123">
        <v>1780</v>
      </c>
      <c r="O123">
        <v>1780</v>
      </c>
      <c r="P123" t="s">
        <v>288</v>
      </c>
      <c r="Q123">
        <v>19125</v>
      </c>
      <c r="R123" s="10">
        <f>Table1[[#This Row],[سعر المتر علينا]]*Table1[[#This Row],[Volume (m³)]]</f>
        <v>1792.9687500000002</v>
      </c>
    </row>
    <row r="124" spans="1:18" x14ac:dyDescent="0.3">
      <c r="A124" t="s">
        <v>116</v>
      </c>
      <c r="B124" s="3">
        <v>46209</v>
      </c>
      <c r="C124" t="s">
        <v>254</v>
      </c>
      <c r="D124" t="str">
        <f>IF(Table1[[#This Row],[Customer Name]]="", "",_xlfn.XLOOKUP(C124,Table7[Customer Name],Table7[Customer ID]," "))</f>
        <v>C-045</v>
      </c>
      <c r="E124" t="s">
        <v>281</v>
      </c>
      <c r="F124" t="s">
        <v>284</v>
      </c>
      <c r="G124">
        <v>7.5</v>
      </c>
      <c r="H124">
        <v>7.5</v>
      </c>
      <c r="I124">
        <v>14500</v>
      </c>
      <c r="J124">
        <v>270</v>
      </c>
      <c r="K124">
        <v>20</v>
      </c>
      <c r="L124">
        <f>IF(OR(Table1[[#This Row],[Quantity]]="",Table1[[#This Row],[Length (cm)]]=""),"",(Table1[[#This Row],[Width (cm)]]/100)*(Table1[[#This Row],[Thickness (cm)]]/100)*(Table1[[#This Row],[Length (cm)]]/100)*Table1[[#This Row],[Quantity]])</f>
        <v>0.30374999999999996</v>
      </c>
      <c r="M124">
        <f>IF(Table1[[#This Row],[Volume (m³)]]="","",Table1[[#This Row],[Volume (m³)]]*Table1[[#This Row],[Price / m³]])</f>
        <v>4404.3749999999991</v>
      </c>
      <c r="N124">
        <v>4410</v>
      </c>
      <c r="O124">
        <v>4410</v>
      </c>
      <c r="P124" t="s">
        <v>288</v>
      </c>
      <c r="Q124">
        <v>19125</v>
      </c>
      <c r="R124" s="10">
        <f>Table1[[#This Row],[سعر المتر علينا]]*Table1[[#This Row],[Volume (m³)]]</f>
        <v>5809.2187499999991</v>
      </c>
    </row>
    <row r="125" spans="1:18" x14ac:dyDescent="0.3">
      <c r="A125" t="s">
        <v>116</v>
      </c>
      <c r="B125" s="3">
        <v>46209</v>
      </c>
      <c r="C125" t="s">
        <v>254</v>
      </c>
      <c r="D125" t="str">
        <f>IF(Table1[[#This Row],[Customer Name]]="", "",_xlfn.XLOOKUP(C125,Table7[Customer Name],Table7[Customer ID]," "))</f>
        <v>C-045</v>
      </c>
      <c r="E125" t="s">
        <v>281</v>
      </c>
      <c r="F125" t="s">
        <v>284</v>
      </c>
      <c r="G125">
        <v>7.5</v>
      </c>
      <c r="H125">
        <v>7.5</v>
      </c>
      <c r="I125">
        <v>16200</v>
      </c>
      <c r="J125">
        <v>300</v>
      </c>
      <c r="K125">
        <v>6</v>
      </c>
      <c r="L125">
        <f>IF(OR(Table1[[#This Row],[Quantity]]="",Table1[[#This Row],[Length (cm)]]=""),"",(Table1[[#This Row],[Width (cm)]]/100)*(Table1[[#This Row],[Thickness (cm)]]/100)*(Table1[[#This Row],[Length (cm)]]/100)*Table1[[#This Row],[Quantity]])</f>
        <v>0.10125000000000001</v>
      </c>
      <c r="M125">
        <f>IF(Table1[[#This Row],[Volume (m³)]]="","",Table1[[#This Row],[Volume (m³)]]*Table1[[#This Row],[Price / m³]])</f>
        <v>1640.25</v>
      </c>
      <c r="N125">
        <v>1640</v>
      </c>
      <c r="O125">
        <v>1640</v>
      </c>
      <c r="P125" t="s">
        <v>288</v>
      </c>
      <c r="Q125">
        <v>19125</v>
      </c>
      <c r="R125" s="10">
        <f>Table1[[#This Row],[سعر المتر علينا]]*Table1[[#This Row],[Volume (m³)]]</f>
        <v>1936.4062500000002</v>
      </c>
    </row>
    <row r="126" spans="1:18" x14ac:dyDescent="0.3">
      <c r="A126" t="s">
        <v>117</v>
      </c>
      <c r="B126" s="3">
        <v>46209</v>
      </c>
      <c r="C126" t="s">
        <v>248</v>
      </c>
      <c r="D126" t="str">
        <f>IF(Table1[[#This Row],[Customer Name]]="", "",_xlfn.XLOOKUP(C126,Table7[Customer Name],Table7[Customer ID]," "))</f>
        <v>C-039</v>
      </c>
      <c r="E126" t="s">
        <v>278</v>
      </c>
      <c r="F126" t="s">
        <v>282</v>
      </c>
      <c r="G126">
        <v>10</v>
      </c>
      <c r="H126">
        <v>2.5</v>
      </c>
      <c r="I126">
        <v>20700</v>
      </c>
      <c r="J126">
        <v>420</v>
      </c>
      <c r="K126">
        <v>95</v>
      </c>
      <c r="L126">
        <f>IF(OR(Table1[[#This Row],[Quantity]]="",Table1[[#This Row],[Length (cm)]]=""),"",(Table1[[#This Row],[Width (cm)]]/100)*(Table1[[#This Row],[Thickness (cm)]]/100)*(Table1[[#This Row],[Length (cm)]]/100)*Table1[[#This Row],[Quantity]])</f>
        <v>0.99750000000000028</v>
      </c>
      <c r="M126">
        <f>IF(Table1[[#This Row],[Volume (m³)]]="","",Table1[[#This Row],[Volume (m³)]]*Table1[[#This Row],[Price / m³]])</f>
        <v>20648.250000000007</v>
      </c>
      <c r="N126">
        <v>20700</v>
      </c>
      <c r="O126">
        <v>20700</v>
      </c>
      <c r="P126" t="s">
        <v>288</v>
      </c>
      <c r="Q126">
        <v>19125</v>
      </c>
      <c r="R126" s="10">
        <f>Table1[[#This Row],[سعر المتر علينا]]*Table1[[#This Row],[Volume (m³)]]</f>
        <v>19077.187500000004</v>
      </c>
    </row>
    <row r="127" spans="1:18" x14ac:dyDescent="0.3">
      <c r="A127" t="s">
        <v>117</v>
      </c>
      <c r="B127" s="3">
        <v>46209</v>
      </c>
      <c r="C127" t="s">
        <v>223</v>
      </c>
      <c r="D127" t="str">
        <f>IF(Table1[[#This Row],[Customer Name]]="", "",_xlfn.XLOOKUP(C127,Table7[Customer Name],Table7[Customer ID]," "))</f>
        <v>C-003</v>
      </c>
      <c r="E127" t="s">
        <v>278</v>
      </c>
      <c r="F127" t="s">
        <v>282</v>
      </c>
      <c r="G127">
        <v>10</v>
      </c>
      <c r="H127">
        <v>2.5</v>
      </c>
      <c r="I127">
        <v>19600</v>
      </c>
      <c r="J127">
        <v>420</v>
      </c>
      <c r="K127">
        <v>103</v>
      </c>
      <c r="L127">
        <f>IF(OR(Table1[[#This Row],[Quantity]]="",Table1[[#This Row],[Length (cm)]]=""),"",(Table1[[#This Row],[Width (cm)]]/100)*(Table1[[#This Row],[Thickness (cm)]]/100)*(Table1[[#This Row],[Length (cm)]]/100)*Table1[[#This Row],[Quantity]])</f>
        <v>1.0815000000000003</v>
      </c>
      <c r="M127">
        <f>IF(Table1[[#This Row],[Volume (m³)]]="","",Table1[[#This Row],[Volume (m³)]]*Table1[[#This Row],[Price / m³]])</f>
        <v>21197.400000000005</v>
      </c>
      <c r="N127">
        <v>21200</v>
      </c>
      <c r="O127">
        <v>0</v>
      </c>
      <c r="P127" t="s">
        <v>285</v>
      </c>
      <c r="Q127">
        <v>19125</v>
      </c>
      <c r="R127" s="10">
        <f>Table1[[#This Row],[سعر المتر علينا]]*Table1[[#This Row],[Volume (m³)]]</f>
        <v>20683.687500000007</v>
      </c>
    </row>
    <row r="128" spans="1:18" x14ac:dyDescent="0.3">
      <c r="A128" t="s">
        <v>117</v>
      </c>
      <c r="B128" s="3">
        <v>46209</v>
      </c>
      <c r="C128" t="s">
        <v>223</v>
      </c>
      <c r="D128" t="str">
        <f>IF(Table1[[#This Row],[Customer Name]]="", "",_xlfn.XLOOKUP(C128,Table7[Customer Name],Table7[Customer ID]," "))</f>
        <v>C-003</v>
      </c>
      <c r="E128" t="s">
        <v>278</v>
      </c>
      <c r="F128" t="s">
        <v>282</v>
      </c>
      <c r="G128">
        <v>10</v>
      </c>
      <c r="H128">
        <v>2.5</v>
      </c>
      <c r="I128">
        <v>19600</v>
      </c>
      <c r="J128">
        <v>390</v>
      </c>
      <c r="K128">
        <v>50</v>
      </c>
      <c r="L128">
        <f>IF(OR(Table1[[#This Row],[Quantity]]="",Table1[[#This Row],[Length (cm)]]=""),"",(Table1[[#This Row],[Width (cm)]]/100)*(Table1[[#This Row],[Thickness (cm)]]/100)*(Table1[[#This Row],[Length (cm)]]/100)*Table1[[#This Row],[Quantity]])</f>
        <v>0.4875000000000001</v>
      </c>
      <c r="M128">
        <f>IF(Table1[[#This Row],[Volume (m³)]]="","",Table1[[#This Row],[Volume (m³)]]*Table1[[#This Row],[Price / m³]])</f>
        <v>9555.0000000000018</v>
      </c>
      <c r="N128">
        <v>9600</v>
      </c>
      <c r="O128">
        <v>0</v>
      </c>
      <c r="P128" t="s">
        <v>285</v>
      </c>
      <c r="Q128">
        <v>19125</v>
      </c>
      <c r="R128" s="10">
        <f>Table1[[#This Row],[سعر المتر علينا]]*Table1[[#This Row],[Volume (m³)]]</f>
        <v>9323.4375000000018</v>
      </c>
    </row>
    <row r="129" spans="1:18" x14ac:dyDescent="0.3">
      <c r="A129" t="s">
        <v>117</v>
      </c>
      <c r="B129" s="3">
        <v>46209</v>
      </c>
      <c r="C129" t="s">
        <v>223</v>
      </c>
      <c r="D129" t="str">
        <f>IF(Table1[[#This Row],[Customer Name]]="", "",_xlfn.XLOOKUP(C129,Table7[Customer Name],Table7[Customer ID]," "))</f>
        <v>C-003</v>
      </c>
      <c r="E129" t="s">
        <v>278</v>
      </c>
      <c r="F129" t="s">
        <v>282</v>
      </c>
      <c r="G129">
        <v>12.5</v>
      </c>
      <c r="H129">
        <v>2.5</v>
      </c>
      <c r="I129">
        <v>17000</v>
      </c>
      <c r="J129">
        <v>330</v>
      </c>
      <c r="K129">
        <v>184</v>
      </c>
      <c r="L129">
        <f>IF(OR(Table1[[#This Row],[Quantity]]="",Table1[[#This Row],[Length (cm)]]=""),"",(Table1[[#This Row],[Width (cm)]]/100)*(Table1[[#This Row],[Thickness (cm)]]/100)*(Table1[[#This Row],[Length (cm)]]/100)*Table1[[#This Row],[Quantity]])</f>
        <v>1.8975000000000002</v>
      </c>
      <c r="M129">
        <f>IF(Table1[[#This Row],[Volume (m³)]]="","",Table1[[#This Row],[Volume (m³)]]*Table1[[#This Row],[Price / m³]])</f>
        <v>32257.500000000004</v>
      </c>
      <c r="N129">
        <v>32250</v>
      </c>
      <c r="O129">
        <v>0</v>
      </c>
      <c r="P129" t="s">
        <v>285</v>
      </c>
      <c r="Q129">
        <v>19125</v>
      </c>
      <c r="R129" s="10">
        <f>Table1[[#This Row],[سعر المتر علينا]]*Table1[[#This Row],[Volume (m³)]]</f>
        <v>36289.6875</v>
      </c>
    </row>
    <row r="130" spans="1:18" x14ac:dyDescent="0.3">
      <c r="A130" t="s">
        <v>117</v>
      </c>
      <c r="B130" s="3">
        <v>46209</v>
      </c>
      <c r="C130" t="s">
        <v>223</v>
      </c>
      <c r="D130" t="str">
        <f>IF(Table1[[#This Row],[Customer Name]]="", "",_xlfn.XLOOKUP(C130,Table7[Customer Name],Table7[Customer ID]," "))</f>
        <v>C-003</v>
      </c>
      <c r="E130" t="s">
        <v>278</v>
      </c>
      <c r="F130" t="s">
        <v>282</v>
      </c>
      <c r="G130">
        <v>12.5</v>
      </c>
      <c r="H130">
        <v>2.5</v>
      </c>
      <c r="I130">
        <v>17000</v>
      </c>
      <c r="J130">
        <v>270</v>
      </c>
      <c r="K130">
        <v>72</v>
      </c>
      <c r="L130">
        <f>IF(OR(Table1[[#This Row],[Quantity]]="",Table1[[#This Row],[Length (cm)]]=""),"",(Table1[[#This Row],[Width (cm)]]/100)*(Table1[[#This Row],[Thickness (cm)]]/100)*(Table1[[#This Row],[Length (cm)]]/100)*Table1[[#This Row],[Quantity]])</f>
        <v>0.60750000000000004</v>
      </c>
      <c r="M130">
        <f>IF(Table1[[#This Row],[Volume (m³)]]="","",Table1[[#This Row],[Volume (m³)]]*Table1[[#This Row],[Price / m³]])</f>
        <v>10327.5</v>
      </c>
      <c r="N130">
        <v>10330</v>
      </c>
      <c r="O130">
        <v>0</v>
      </c>
      <c r="P130" t="s">
        <v>285</v>
      </c>
      <c r="Q130">
        <v>19125</v>
      </c>
      <c r="R130" s="10">
        <f>Table1[[#This Row],[سعر المتر علينا]]*Table1[[#This Row],[Volume (m³)]]</f>
        <v>11618.4375</v>
      </c>
    </row>
    <row r="131" spans="1:18" x14ac:dyDescent="0.3">
      <c r="A131" t="s">
        <v>117</v>
      </c>
      <c r="B131" s="3">
        <v>46209</v>
      </c>
      <c r="C131" t="s">
        <v>223</v>
      </c>
      <c r="D131" t="str">
        <f>IF(Table1[[#This Row],[Customer Name]]="", "",_xlfn.XLOOKUP(C131,Table7[Customer Name],Table7[Customer ID]," "))</f>
        <v>C-003</v>
      </c>
      <c r="E131" t="s">
        <v>278</v>
      </c>
      <c r="F131" t="s">
        <v>282</v>
      </c>
      <c r="G131">
        <v>12.5</v>
      </c>
      <c r="H131">
        <v>2.5</v>
      </c>
      <c r="I131">
        <v>17000</v>
      </c>
      <c r="J131">
        <v>240</v>
      </c>
      <c r="K131">
        <v>72</v>
      </c>
      <c r="L131">
        <f>IF(OR(Table1[[#This Row],[Quantity]]="",Table1[[#This Row],[Length (cm)]]=""),"",(Table1[[#This Row],[Width (cm)]]/100)*(Table1[[#This Row],[Thickness (cm)]]/100)*(Table1[[#This Row],[Length (cm)]]/100)*Table1[[#This Row],[Quantity]])</f>
        <v>0.54</v>
      </c>
      <c r="M131">
        <f>IF(Table1[[#This Row],[Volume (m³)]]="","",Table1[[#This Row],[Volume (m³)]]*Table1[[#This Row],[Price / m³]])</f>
        <v>9180</v>
      </c>
      <c r="N131">
        <v>9140</v>
      </c>
      <c r="O131">
        <v>0</v>
      </c>
      <c r="P131" t="s">
        <v>285</v>
      </c>
      <c r="Q131">
        <v>19125</v>
      </c>
      <c r="R131" s="10">
        <f>Table1[[#This Row],[سعر المتر علينا]]*Table1[[#This Row],[Volume (m³)]]</f>
        <v>10327.5</v>
      </c>
    </row>
    <row r="132" spans="1:18" x14ac:dyDescent="0.3">
      <c r="A132" t="s">
        <v>122</v>
      </c>
      <c r="B132" s="3">
        <v>46211</v>
      </c>
      <c r="C132" t="s">
        <v>248</v>
      </c>
      <c r="D132" t="str">
        <f>IF(Table1[[#This Row],[Customer Name]]="", "",_xlfn.XLOOKUP(C132,Table7[Customer Name],Table7[Customer ID]," "))</f>
        <v>C-039</v>
      </c>
      <c r="E132" t="s">
        <v>278</v>
      </c>
      <c r="F132" t="s">
        <v>282</v>
      </c>
      <c r="G132">
        <v>10</v>
      </c>
      <c r="H132">
        <v>2.5</v>
      </c>
      <c r="I132">
        <v>20700</v>
      </c>
      <c r="J132">
        <v>450</v>
      </c>
      <c r="K132">
        <v>44</v>
      </c>
      <c r="L132">
        <f>IF(OR(Table1[[#This Row],[Quantity]]="",Table1[[#This Row],[Length (cm)]]=""),"",(Table1[[#This Row],[Width (cm)]]/100)*(Table1[[#This Row],[Thickness (cm)]]/100)*(Table1[[#This Row],[Length (cm)]]/100)*Table1[[#This Row],[Quantity]])</f>
        <v>0.49500000000000011</v>
      </c>
      <c r="M132">
        <f>IF(Table1[[#This Row],[Volume (m³)]]="","",Table1[[#This Row],[Volume (m³)]]*Table1[[#This Row],[Price / m³]])</f>
        <v>10246.500000000002</v>
      </c>
      <c r="N132">
        <v>10300</v>
      </c>
      <c r="O132">
        <v>10300</v>
      </c>
      <c r="P132" t="s">
        <v>288</v>
      </c>
      <c r="Q132">
        <v>19125</v>
      </c>
      <c r="R132" s="10">
        <f>Table1[[#This Row],[سعر المتر علينا]]*Table1[[#This Row],[Volume (m³)]]</f>
        <v>9466.8750000000018</v>
      </c>
    </row>
    <row r="133" spans="1:18" x14ac:dyDescent="0.3">
      <c r="A133" t="s">
        <v>122</v>
      </c>
      <c r="B133" s="3">
        <v>46211</v>
      </c>
      <c r="C133" t="s">
        <v>248</v>
      </c>
      <c r="D133" t="str">
        <f>IF(Table1[[#This Row],[Customer Name]]="", "",_xlfn.XLOOKUP(C133,Table7[Customer Name],Table7[Customer ID]," "))</f>
        <v>C-039</v>
      </c>
      <c r="E133" t="s">
        <v>278</v>
      </c>
      <c r="F133" t="s">
        <v>282</v>
      </c>
      <c r="G133">
        <v>10</v>
      </c>
      <c r="H133">
        <v>2.5</v>
      </c>
      <c r="I133">
        <v>20700</v>
      </c>
      <c r="J133">
        <v>420</v>
      </c>
      <c r="K133">
        <v>23</v>
      </c>
      <c r="L133">
        <f>IF(OR(Table1[[#This Row],[Quantity]]="",Table1[[#This Row],[Length (cm)]]=""),"",(Table1[[#This Row],[Width (cm)]]/100)*(Table1[[#This Row],[Thickness (cm)]]/100)*(Table1[[#This Row],[Length (cm)]]/100)*Table1[[#This Row],[Quantity]])</f>
        <v>0.24150000000000005</v>
      </c>
      <c r="M133">
        <f>IF(Table1[[#This Row],[Volume (m³)]]="","",Table1[[#This Row],[Volume (m³)]]*Table1[[#This Row],[Price / m³]])</f>
        <v>4999.0500000000011</v>
      </c>
      <c r="N133">
        <v>5000</v>
      </c>
      <c r="O133">
        <v>5000</v>
      </c>
      <c r="P133" t="s">
        <v>288</v>
      </c>
      <c r="Q133">
        <v>19125</v>
      </c>
      <c r="R133" s="10">
        <f>Table1[[#This Row],[سعر المتر علينا]]*Table1[[#This Row],[Volume (m³)]]</f>
        <v>4618.6875000000009</v>
      </c>
    </row>
    <row r="134" spans="1:18" x14ac:dyDescent="0.3">
      <c r="A134" t="s">
        <v>122</v>
      </c>
      <c r="B134" s="3">
        <v>46211</v>
      </c>
      <c r="C134" t="s">
        <v>248</v>
      </c>
      <c r="D134" t="str">
        <f>IF(Table1[[#This Row],[Customer Name]]="", "",_xlfn.XLOOKUP(C134,Table7[Customer Name],Table7[Customer ID]," "))</f>
        <v>C-039</v>
      </c>
      <c r="E134" t="s">
        <v>278</v>
      </c>
      <c r="F134" t="s">
        <v>282</v>
      </c>
      <c r="G134">
        <v>10</v>
      </c>
      <c r="H134">
        <v>2.5</v>
      </c>
      <c r="I134">
        <v>20700</v>
      </c>
      <c r="J134">
        <v>240</v>
      </c>
      <c r="K134">
        <v>30</v>
      </c>
      <c r="L134">
        <f>IF(OR(Table1[[#This Row],[Quantity]]="",Table1[[#This Row],[Length (cm)]]=""),"",(Table1[[#This Row],[Width (cm)]]/100)*(Table1[[#This Row],[Thickness (cm)]]/100)*(Table1[[#This Row],[Length (cm)]]/100)*Table1[[#This Row],[Quantity]])</f>
        <v>0.18000000000000002</v>
      </c>
      <c r="M134">
        <f>IF(Table1[[#This Row],[Volume (m³)]]="","",Table1[[#This Row],[Volume (m³)]]*Table1[[#This Row],[Price / m³]])</f>
        <v>3726.0000000000005</v>
      </c>
      <c r="N134">
        <v>3850</v>
      </c>
      <c r="O134">
        <v>3850</v>
      </c>
      <c r="P134" t="s">
        <v>288</v>
      </c>
      <c r="Q134">
        <v>19125</v>
      </c>
      <c r="R134" s="10">
        <f>Table1[[#This Row],[سعر المتر علينا]]*Table1[[#This Row],[Volume (m³)]]</f>
        <v>3442.5000000000005</v>
      </c>
    </row>
    <row r="135" spans="1:18" x14ac:dyDescent="0.3">
      <c r="A135" t="s">
        <v>122</v>
      </c>
      <c r="B135" s="3">
        <v>46211</v>
      </c>
      <c r="C135" t="s">
        <v>248</v>
      </c>
      <c r="D135" t="str">
        <f>IF(Table1[[#This Row],[Customer Name]]="", "",_xlfn.XLOOKUP(C135,Table7[Customer Name],Table7[Customer ID]," "))</f>
        <v>C-039</v>
      </c>
      <c r="E135" t="s">
        <v>278</v>
      </c>
      <c r="F135" t="s">
        <v>282</v>
      </c>
      <c r="G135">
        <v>10</v>
      </c>
      <c r="H135">
        <v>2.5</v>
      </c>
      <c r="I135">
        <v>20700</v>
      </c>
      <c r="J135">
        <v>210</v>
      </c>
      <c r="K135">
        <v>14</v>
      </c>
      <c r="L135">
        <f>IF(OR(Table1[[#This Row],[Quantity]]="",Table1[[#This Row],[Length (cm)]]=""),"",(Table1[[#This Row],[Width (cm)]]/100)*(Table1[[#This Row],[Thickness (cm)]]/100)*(Table1[[#This Row],[Length (cm)]]/100)*Table1[[#This Row],[Quantity]])</f>
        <v>7.350000000000001E-2</v>
      </c>
      <c r="M135">
        <f>IF(Table1[[#This Row],[Volume (m³)]]="","",Table1[[#This Row],[Volume (m³)]]*Table1[[#This Row],[Price / m³]])</f>
        <v>1521.4500000000003</v>
      </c>
      <c r="N135">
        <v>1550</v>
      </c>
      <c r="O135">
        <v>1550</v>
      </c>
      <c r="P135" t="s">
        <v>288</v>
      </c>
      <c r="Q135">
        <v>19125</v>
      </c>
      <c r="R135" s="10">
        <f>Table1[[#This Row],[سعر المتر علينا]]*Table1[[#This Row],[Volume (m³)]]</f>
        <v>1405.6875000000002</v>
      </c>
    </row>
    <row r="136" spans="1:18" x14ac:dyDescent="0.3">
      <c r="A136" t="s">
        <v>124</v>
      </c>
      <c r="B136" s="3">
        <v>46212</v>
      </c>
      <c r="C136" t="s">
        <v>225</v>
      </c>
      <c r="D136" t="str">
        <f>IF(Table1[[#This Row],[Customer Name]]="", "",_xlfn.XLOOKUP(C136,Table7[Customer Name],Table7[Customer ID]," "))</f>
        <v>C-010</v>
      </c>
      <c r="E136" t="s">
        <v>278</v>
      </c>
      <c r="F136" t="s">
        <v>283</v>
      </c>
      <c r="G136">
        <v>10</v>
      </c>
      <c r="H136">
        <v>2.5</v>
      </c>
      <c r="I136">
        <v>21000</v>
      </c>
      <c r="J136">
        <v>90</v>
      </c>
      <c r="K136">
        <v>44</v>
      </c>
      <c r="L136">
        <f>IF(OR(Table1[[#This Row],[Quantity]]="",Table1[[#This Row],[Length (cm)]]=""),"",(Table1[[#This Row],[Width (cm)]]/100)*(Table1[[#This Row],[Thickness (cm)]]/100)*(Table1[[#This Row],[Length (cm)]]/100)*Table1[[#This Row],[Quantity]])</f>
        <v>9.9000000000000032E-2</v>
      </c>
      <c r="M136">
        <f>IF(Table1[[#This Row],[Volume (m³)]]="","",Table1[[#This Row],[Volume (m³)]]*Table1[[#This Row],[Price / m³]])</f>
        <v>2079.0000000000005</v>
      </c>
      <c r="N136">
        <v>2100</v>
      </c>
      <c r="O136">
        <v>2100</v>
      </c>
      <c r="P136" t="s">
        <v>288</v>
      </c>
      <c r="Q136">
        <v>17061</v>
      </c>
      <c r="R136" s="10">
        <f>Table1[[#This Row],[سعر المتر علينا]]*Table1[[#This Row],[Volume (m³)]]</f>
        <v>1689.0390000000004</v>
      </c>
    </row>
    <row r="137" spans="1:18" x14ac:dyDescent="0.3">
      <c r="A137" t="s">
        <v>125</v>
      </c>
      <c r="B137" s="3">
        <v>46212</v>
      </c>
      <c r="C137" t="s">
        <v>223</v>
      </c>
      <c r="D137" t="str">
        <f>IF(Table1[[#This Row],[Customer Name]]="", "",_xlfn.XLOOKUP(C137,Table7[Customer Name],Table7[Customer ID]," "))</f>
        <v>C-003</v>
      </c>
      <c r="E137" t="s">
        <v>278</v>
      </c>
      <c r="F137" t="s">
        <v>283</v>
      </c>
      <c r="G137">
        <v>10</v>
      </c>
      <c r="H137">
        <v>2.5</v>
      </c>
      <c r="I137">
        <v>19000</v>
      </c>
      <c r="J137">
        <v>180</v>
      </c>
      <c r="K137">
        <v>75</v>
      </c>
      <c r="L137">
        <f>IF(OR(Table1[[#This Row],[Quantity]]="",Table1[[#This Row],[Length (cm)]]=""),"",(Table1[[#This Row],[Width (cm)]]/100)*(Table1[[#This Row],[Thickness (cm)]]/100)*(Table1[[#This Row],[Length (cm)]]/100)*Table1[[#This Row],[Quantity]])</f>
        <v>0.33750000000000008</v>
      </c>
      <c r="M137">
        <f>IF(Table1[[#This Row],[Volume (m³)]]="","",Table1[[#This Row],[Volume (m³)]]*Table1[[#This Row],[Price / m³]])</f>
        <v>6412.5000000000018</v>
      </c>
      <c r="N137">
        <v>6400</v>
      </c>
      <c r="O137">
        <v>0</v>
      </c>
      <c r="P137" t="s">
        <v>285</v>
      </c>
      <c r="Q137">
        <v>17061</v>
      </c>
      <c r="R137" s="10">
        <f>Table1[[#This Row],[سعر المتر علينا]]*Table1[[#This Row],[Volume (m³)]]</f>
        <v>5758.0875000000015</v>
      </c>
    </row>
    <row r="138" spans="1:18" x14ac:dyDescent="0.3">
      <c r="A138" t="s">
        <v>125</v>
      </c>
      <c r="B138" s="3">
        <v>46212</v>
      </c>
      <c r="C138" t="s">
        <v>223</v>
      </c>
      <c r="D138" t="str">
        <f>IF(Table1[[#This Row],[Customer Name]]="", "",_xlfn.XLOOKUP(C138,Table7[Customer Name],Table7[Customer ID]," "))</f>
        <v>C-003</v>
      </c>
      <c r="E138" t="s">
        <v>278</v>
      </c>
      <c r="F138" t="s">
        <v>283</v>
      </c>
      <c r="G138">
        <v>10</v>
      </c>
      <c r="H138">
        <v>2.5</v>
      </c>
      <c r="I138">
        <v>19000</v>
      </c>
      <c r="J138">
        <v>150</v>
      </c>
      <c r="K138">
        <v>75</v>
      </c>
      <c r="L138">
        <f>IF(OR(Table1[[#This Row],[Quantity]]="",Table1[[#This Row],[Length (cm)]]=""),"",(Table1[[#This Row],[Width (cm)]]/100)*(Table1[[#This Row],[Thickness (cm)]]/100)*(Table1[[#This Row],[Length (cm)]]/100)*Table1[[#This Row],[Quantity]])</f>
        <v>0.28125000000000006</v>
      </c>
      <c r="M138">
        <f>IF(Table1[[#This Row],[Volume (m³)]]="","",Table1[[#This Row],[Volume (m³)]]*Table1[[#This Row],[Price / m³]])</f>
        <v>5343.7500000000009</v>
      </c>
      <c r="N138">
        <v>5300</v>
      </c>
      <c r="O138">
        <v>0</v>
      </c>
      <c r="P138" t="s">
        <v>285</v>
      </c>
      <c r="Q138">
        <v>17061</v>
      </c>
      <c r="R138" s="10">
        <f>Table1[[#This Row],[سعر المتر علينا]]*Table1[[#This Row],[Volume (m³)]]</f>
        <v>4798.4062500000009</v>
      </c>
    </row>
    <row r="139" spans="1:18" x14ac:dyDescent="0.3">
      <c r="A139" t="s">
        <v>125</v>
      </c>
      <c r="B139" s="3">
        <v>46212</v>
      </c>
      <c r="C139" t="s">
        <v>223</v>
      </c>
      <c r="D139" t="str">
        <f>IF(Table1[[#This Row],[Customer Name]]="", "",_xlfn.XLOOKUP(C139,Table7[Customer Name],Table7[Customer ID]," "))</f>
        <v>C-003</v>
      </c>
      <c r="E139" t="s">
        <v>278</v>
      </c>
      <c r="F139" t="s">
        <v>283</v>
      </c>
      <c r="G139">
        <v>10</v>
      </c>
      <c r="H139">
        <v>2.5</v>
      </c>
      <c r="I139">
        <v>19000</v>
      </c>
      <c r="J139">
        <v>120</v>
      </c>
      <c r="K139">
        <v>75</v>
      </c>
      <c r="L139">
        <f>IF(OR(Table1[[#This Row],[Quantity]]="",Table1[[#This Row],[Length (cm)]]=""),"",(Table1[[#This Row],[Width (cm)]]/100)*(Table1[[#This Row],[Thickness (cm)]]/100)*(Table1[[#This Row],[Length (cm)]]/100)*Table1[[#This Row],[Quantity]])</f>
        <v>0.22500000000000003</v>
      </c>
      <c r="M139">
        <f>IF(Table1[[#This Row],[Volume (m³)]]="","",Table1[[#This Row],[Volume (m³)]]*Table1[[#This Row],[Price / m³]])</f>
        <v>4275.0000000000009</v>
      </c>
      <c r="N139">
        <v>4300</v>
      </c>
      <c r="O139">
        <v>0</v>
      </c>
      <c r="P139" t="s">
        <v>285</v>
      </c>
      <c r="Q139">
        <v>17061</v>
      </c>
      <c r="R139" s="10">
        <f>Table1[[#This Row],[سعر المتر علينا]]*Table1[[#This Row],[Volume (m³)]]</f>
        <v>3838.7250000000004</v>
      </c>
    </row>
    <row r="140" spans="1:18" x14ac:dyDescent="0.3">
      <c r="A140" t="s">
        <v>126</v>
      </c>
      <c r="B140" s="3">
        <v>46212</v>
      </c>
      <c r="C140" t="s">
        <v>222</v>
      </c>
      <c r="D140" t="str">
        <f>IF(Table1[[#This Row],[Customer Name]]="", "",_xlfn.XLOOKUP(C140,Table7[Customer Name],Table7[Customer ID]," "))</f>
        <v>C-001</v>
      </c>
      <c r="E140" t="s">
        <v>278</v>
      </c>
      <c r="F140" t="s">
        <v>282</v>
      </c>
      <c r="G140">
        <v>10</v>
      </c>
      <c r="H140">
        <v>2.5</v>
      </c>
      <c r="I140">
        <v>21000</v>
      </c>
      <c r="J140">
        <v>270</v>
      </c>
      <c r="K140">
        <v>67</v>
      </c>
      <c r="L140">
        <f>IF(OR(Table1[[#This Row],[Quantity]]="",Table1[[#This Row],[Length (cm)]]=""),"",(Table1[[#This Row],[Width (cm)]]/100)*(Table1[[#This Row],[Thickness (cm)]]/100)*(Table1[[#This Row],[Length (cm)]]/100)*Table1[[#This Row],[Quantity]])</f>
        <v>0.4522500000000001</v>
      </c>
      <c r="M140">
        <f>IF(Table1[[#This Row],[Volume (m³)]]="","",Table1[[#This Row],[Volume (m³)]]*Table1[[#This Row],[Price / m³]])</f>
        <v>9497.2500000000018</v>
      </c>
      <c r="N140">
        <v>9500</v>
      </c>
      <c r="O140">
        <v>9500</v>
      </c>
      <c r="P140" t="s">
        <v>288</v>
      </c>
      <c r="Q140">
        <v>17061</v>
      </c>
      <c r="R140" s="10">
        <f>Table1[[#This Row],[سعر المتر علينا]]*Table1[[#This Row],[Volume (m³)]]</f>
        <v>7715.8372500000014</v>
      </c>
    </row>
    <row r="141" spans="1:18" x14ac:dyDescent="0.3">
      <c r="A141" t="s">
        <v>126</v>
      </c>
      <c r="B141" s="3">
        <v>46212</v>
      </c>
      <c r="C141" t="s">
        <v>222</v>
      </c>
      <c r="D141" t="str">
        <f>IF(Table1[[#This Row],[Customer Name]]="", "",_xlfn.XLOOKUP(C141,Table7[Customer Name],Table7[Customer ID]," "))</f>
        <v>C-001</v>
      </c>
      <c r="E141" t="s">
        <v>278</v>
      </c>
      <c r="F141" t="s">
        <v>282</v>
      </c>
      <c r="G141">
        <v>10</v>
      </c>
      <c r="H141">
        <v>2.5</v>
      </c>
      <c r="I141">
        <v>21000</v>
      </c>
      <c r="J141">
        <v>330</v>
      </c>
      <c r="K141">
        <v>65</v>
      </c>
      <c r="L141">
        <f>IF(OR(Table1[[#This Row],[Quantity]]="",Table1[[#This Row],[Length (cm)]]=""),"",(Table1[[#This Row],[Width (cm)]]/100)*(Table1[[#This Row],[Thickness (cm)]]/100)*(Table1[[#This Row],[Length (cm)]]/100)*Table1[[#This Row],[Quantity]])</f>
        <v>0.53625</v>
      </c>
      <c r="M141">
        <f>IF(Table1[[#This Row],[Volume (m³)]]="","",Table1[[#This Row],[Volume (m³)]]*Table1[[#This Row],[Price / m³]])</f>
        <v>11261.25</v>
      </c>
      <c r="N141">
        <v>11120</v>
      </c>
      <c r="O141">
        <v>11120</v>
      </c>
      <c r="P141" t="s">
        <v>288</v>
      </c>
      <c r="Q141">
        <v>17061</v>
      </c>
      <c r="R141" s="10">
        <f>Table1[[#This Row],[سعر المتر علينا]]*Table1[[#This Row],[Volume (m³)]]</f>
        <v>9148.9612500000003</v>
      </c>
    </row>
    <row r="142" spans="1:18" x14ac:dyDescent="0.3">
      <c r="A142" t="s">
        <v>126</v>
      </c>
      <c r="B142" s="3">
        <v>46212</v>
      </c>
      <c r="C142" t="s">
        <v>222</v>
      </c>
      <c r="D142" t="str">
        <f>IF(Table1[[#This Row],[Customer Name]]="", "",_xlfn.XLOOKUP(C142,Table7[Customer Name],Table7[Customer ID]," "))</f>
        <v>C-001</v>
      </c>
      <c r="E142" t="s">
        <v>278</v>
      </c>
      <c r="F142" t="s">
        <v>283</v>
      </c>
      <c r="G142">
        <v>10</v>
      </c>
      <c r="H142">
        <v>2.5</v>
      </c>
      <c r="I142">
        <v>21000</v>
      </c>
      <c r="J142">
        <v>150</v>
      </c>
      <c r="K142">
        <v>3</v>
      </c>
      <c r="L142">
        <f>IF(OR(Table1[[#This Row],[Quantity]]="",Table1[[#This Row],[Length (cm)]]=""),"",(Table1[[#This Row],[Width (cm)]]/100)*(Table1[[#This Row],[Thickness (cm)]]/100)*(Table1[[#This Row],[Length (cm)]]/100)*Table1[[#This Row],[Quantity]])</f>
        <v>1.1250000000000003E-2</v>
      </c>
      <c r="M142">
        <f>IF(Table1[[#This Row],[Volume (m³)]]="","",Table1[[#This Row],[Volume (m³)]]*Table1[[#This Row],[Price / m³]])</f>
        <v>236.25000000000006</v>
      </c>
      <c r="N142">
        <v>240</v>
      </c>
      <c r="O142">
        <v>240</v>
      </c>
      <c r="P142" t="s">
        <v>288</v>
      </c>
      <c r="Q142">
        <v>17061</v>
      </c>
      <c r="R142" s="10">
        <f>Table1[[#This Row],[سعر المتر علينا]]*Table1[[#This Row],[Volume (m³)]]</f>
        <v>191.93625000000006</v>
      </c>
    </row>
    <row r="143" spans="1:18" x14ac:dyDescent="0.3">
      <c r="A143" t="s">
        <v>126</v>
      </c>
      <c r="B143" s="3">
        <v>46212</v>
      </c>
      <c r="C143" t="s">
        <v>222</v>
      </c>
      <c r="D143" t="str">
        <f>IF(Table1[[#This Row],[Customer Name]]="", "",_xlfn.XLOOKUP(C143,Table7[Customer Name],Table7[Customer ID]," "))</f>
        <v>C-001</v>
      </c>
      <c r="E143" t="s">
        <v>278</v>
      </c>
      <c r="F143" t="s">
        <v>283</v>
      </c>
      <c r="G143">
        <v>10</v>
      </c>
      <c r="H143">
        <v>2.5</v>
      </c>
      <c r="I143">
        <v>21000</v>
      </c>
      <c r="J143">
        <v>90</v>
      </c>
      <c r="K143">
        <v>3</v>
      </c>
      <c r="L143">
        <f>IF(OR(Table1[[#This Row],[Quantity]]="",Table1[[#This Row],[Length (cm)]]=""),"",(Table1[[#This Row],[Width (cm)]]/100)*(Table1[[#This Row],[Thickness (cm)]]/100)*(Table1[[#This Row],[Length (cm)]]/100)*Table1[[#This Row],[Quantity]])</f>
        <v>6.7500000000000025E-3</v>
      </c>
      <c r="M143">
        <f>IF(Table1[[#This Row],[Volume (m³)]]="","",Table1[[#This Row],[Volume (m³)]]*Table1[[#This Row],[Price / m³]])</f>
        <v>141.75000000000006</v>
      </c>
      <c r="N143">
        <v>140</v>
      </c>
      <c r="O143">
        <v>140</v>
      </c>
      <c r="P143" t="s">
        <v>288</v>
      </c>
      <c r="Q143">
        <v>17061</v>
      </c>
      <c r="R143" s="10">
        <f>Table1[[#This Row],[سعر المتر علينا]]*Table1[[#This Row],[Volume (m³)]]</f>
        <v>115.16175000000004</v>
      </c>
    </row>
    <row r="144" spans="1:18" x14ac:dyDescent="0.3">
      <c r="A144" t="s">
        <v>127</v>
      </c>
      <c r="B144" s="3">
        <v>46212</v>
      </c>
      <c r="C144" t="s">
        <v>223</v>
      </c>
      <c r="D144" t="str">
        <f>IF(Table1[[#This Row],[Customer Name]]="", "",_xlfn.XLOOKUP(C144,Table7[Customer Name],Table7[Customer ID]," "))</f>
        <v>C-003</v>
      </c>
      <c r="E144" t="s">
        <v>278</v>
      </c>
      <c r="F144" t="s">
        <v>282</v>
      </c>
      <c r="G144">
        <v>10</v>
      </c>
      <c r="H144">
        <v>2.5</v>
      </c>
      <c r="I144">
        <v>20000</v>
      </c>
      <c r="J144">
        <v>420</v>
      </c>
      <c r="K144">
        <v>50</v>
      </c>
      <c r="L144">
        <f>IF(OR(Table1[[#This Row],[Quantity]]="",Table1[[#This Row],[Length (cm)]]=""),"",(Table1[[#This Row],[Width (cm)]]/100)*(Table1[[#This Row],[Thickness (cm)]]/100)*(Table1[[#This Row],[Length (cm)]]/100)*Table1[[#This Row],[Quantity]])</f>
        <v>0.52500000000000013</v>
      </c>
      <c r="M144">
        <f>IF(Table1[[#This Row],[Volume (m³)]]="","",Table1[[#This Row],[Volume (m³)]]*Table1[[#This Row],[Price / m³]])</f>
        <v>10500.000000000002</v>
      </c>
      <c r="N144">
        <v>10500</v>
      </c>
      <c r="O144">
        <v>0</v>
      </c>
      <c r="P144" t="s">
        <v>285</v>
      </c>
      <c r="Q144">
        <v>17061</v>
      </c>
      <c r="R144" s="10">
        <f>Table1[[#This Row],[سعر المتر علينا]]*Table1[[#This Row],[Volume (m³)]]</f>
        <v>8957.0250000000015</v>
      </c>
    </row>
    <row r="145" spans="1:18" x14ac:dyDescent="0.3">
      <c r="A145" t="s">
        <v>127</v>
      </c>
      <c r="B145" s="3">
        <v>46212</v>
      </c>
      <c r="C145" t="s">
        <v>223</v>
      </c>
      <c r="D145" t="str">
        <f>IF(Table1[[#This Row],[Customer Name]]="", "",_xlfn.XLOOKUP(C145,Table7[Customer Name],Table7[Customer ID]," "))</f>
        <v>C-003</v>
      </c>
      <c r="E145" t="s">
        <v>278</v>
      </c>
      <c r="F145" t="s">
        <v>282</v>
      </c>
      <c r="G145">
        <v>10</v>
      </c>
      <c r="H145">
        <v>2.5</v>
      </c>
      <c r="I145">
        <v>20000</v>
      </c>
      <c r="J145">
        <v>450</v>
      </c>
      <c r="K145">
        <v>50</v>
      </c>
      <c r="L145">
        <f>IF(OR(Table1[[#This Row],[Quantity]]="",Table1[[#This Row],[Length (cm)]]=""),"",(Table1[[#This Row],[Width (cm)]]/100)*(Table1[[#This Row],[Thickness (cm)]]/100)*(Table1[[#This Row],[Length (cm)]]/100)*Table1[[#This Row],[Quantity]])</f>
        <v>0.56250000000000011</v>
      </c>
      <c r="M145">
        <f>IF(Table1[[#This Row],[Volume (m³)]]="","",Table1[[#This Row],[Volume (m³)]]*Table1[[#This Row],[Price / m³]])</f>
        <v>11250.000000000002</v>
      </c>
      <c r="N145">
        <v>11250</v>
      </c>
      <c r="O145">
        <v>0</v>
      </c>
      <c r="P145" t="s">
        <v>285</v>
      </c>
      <c r="Q145">
        <v>17061</v>
      </c>
      <c r="R145" s="10">
        <f>Table1[[#This Row],[سعر المتر علينا]]*Table1[[#This Row],[Volume (m³)]]</f>
        <v>9596.8125000000018</v>
      </c>
    </row>
    <row r="146" spans="1:18" x14ac:dyDescent="0.3">
      <c r="A146" t="s">
        <v>127</v>
      </c>
      <c r="B146" s="3">
        <v>46212</v>
      </c>
      <c r="C146" t="s">
        <v>223</v>
      </c>
      <c r="D146" t="str">
        <f>IF(Table1[[#This Row],[Customer Name]]="", "",_xlfn.XLOOKUP(C146,Table7[Customer Name],Table7[Customer ID]," "))</f>
        <v>C-003</v>
      </c>
      <c r="E146" t="s">
        <v>278</v>
      </c>
      <c r="F146" t="s">
        <v>282</v>
      </c>
      <c r="G146">
        <v>12.5</v>
      </c>
      <c r="H146">
        <v>2.5</v>
      </c>
      <c r="I146">
        <v>17000</v>
      </c>
      <c r="J146">
        <v>450</v>
      </c>
      <c r="K146">
        <v>10</v>
      </c>
      <c r="L146">
        <f>IF(OR(Table1[[#This Row],[Quantity]]="",Table1[[#This Row],[Length (cm)]]=""),"",(Table1[[#This Row],[Width (cm)]]/100)*(Table1[[#This Row],[Thickness (cm)]]/100)*(Table1[[#This Row],[Length (cm)]]/100)*Table1[[#This Row],[Quantity]])</f>
        <v>0.140625</v>
      </c>
      <c r="M146">
        <f>IF(Table1[[#This Row],[Volume (m³)]]="","",Table1[[#This Row],[Volume (m³)]]*Table1[[#This Row],[Price / m³]])</f>
        <v>2390.625</v>
      </c>
      <c r="N146">
        <v>2390</v>
      </c>
      <c r="O146">
        <v>0</v>
      </c>
      <c r="P146" t="s">
        <v>285</v>
      </c>
      <c r="Q146">
        <v>17061</v>
      </c>
      <c r="R146" s="10">
        <f>Table1[[#This Row],[سعر المتر علينا]]*Table1[[#This Row],[Volume (m³)]]</f>
        <v>2399.203125</v>
      </c>
    </row>
    <row r="147" spans="1:18" x14ac:dyDescent="0.3">
      <c r="A147" t="s">
        <v>127</v>
      </c>
      <c r="B147" s="3">
        <v>46212</v>
      </c>
      <c r="C147" t="s">
        <v>223</v>
      </c>
      <c r="D147" t="str">
        <f>IF(Table1[[#This Row],[Customer Name]]="", "",_xlfn.XLOOKUP(C147,Table7[Customer Name],Table7[Customer ID]," "))</f>
        <v>C-003</v>
      </c>
      <c r="E147" t="s">
        <v>278</v>
      </c>
      <c r="F147" t="s">
        <v>282</v>
      </c>
      <c r="G147">
        <v>12.5</v>
      </c>
      <c r="H147">
        <v>2.5</v>
      </c>
      <c r="I147">
        <v>17000</v>
      </c>
      <c r="J147">
        <v>420</v>
      </c>
      <c r="K147">
        <v>23</v>
      </c>
      <c r="L147">
        <f>IF(OR(Table1[[#This Row],[Quantity]]="",Table1[[#This Row],[Length (cm)]]=""),"",(Table1[[#This Row],[Width (cm)]]/100)*(Table1[[#This Row],[Thickness (cm)]]/100)*(Table1[[#This Row],[Length (cm)]]/100)*Table1[[#This Row],[Quantity]])</f>
        <v>0.301875</v>
      </c>
      <c r="M147">
        <f>IF(Table1[[#This Row],[Volume (m³)]]="","",Table1[[#This Row],[Volume (m³)]]*Table1[[#This Row],[Price / m³]])</f>
        <v>5131.875</v>
      </c>
      <c r="N147">
        <v>5130</v>
      </c>
      <c r="O147">
        <v>0</v>
      </c>
      <c r="P147" t="s">
        <v>285</v>
      </c>
      <c r="Q147">
        <v>17061</v>
      </c>
      <c r="R147" s="10">
        <f>Table1[[#This Row],[سعر المتر علينا]]*Table1[[#This Row],[Volume (m³)]]</f>
        <v>5150.2893750000003</v>
      </c>
    </row>
    <row r="148" spans="1:18" x14ac:dyDescent="0.3">
      <c r="A148" t="s">
        <v>128</v>
      </c>
      <c r="B148" s="3">
        <v>46214</v>
      </c>
      <c r="C148" t="s">
        <v>265</v>
      </c>
      <c r="D148" t="str">
        <f>IF(Table1[[#This Row],[Customer Name]]="", "",_xlfn.XLOOKUP(C148,Table7[Customer Name],Table7[Customer ID]," "))</f>
        <v>C-002</v>
      </c>
      <c r="E148" t="s">
        <v>278</v>
      </c>
      <c r="F148" t="s">
        <v>282</v>
      </c>
      <c r="G148">
        <v>12.5</v>
      </c>
      <c r="H148">
        <v>2.5</v>
      </c>
      <c r="I148">
        <v>17000</v>
      </c>
      <c r="J148">
        <v>600</v>
      </c>
      <c r="K148">
        <v>30</v>
      </c>
      <c r="L148">
        <f>IF(OR(Table1[[#This Row],[Quantity]]="",Table1[[#This Row],[Length (cm)]]=""),"",(Table1[[#This Row],[Width (cm)]]/100)*(Table1[[#This Row],[Thickness (cm)]]/100)*(Table1[[#This Row],[Length (cm)]]/100)*Table1[[#This Row],[Quantity]])</f>
        <v>0.56250000000000011</v>
      </c>
      <c r="M148">
        <f>IF(Table1[[#This Row],[Volume (m³)]]="","",Table1[[#This Row],[Volume (m³)]]*Table1[[#This Row],[Price / m³]])</f>
        <v>9562.5000000000018</v>
      </c>
      <c r="N148">
        <v>9560</v>
      </c>
      <c r="O148">
        <v>0</v>
      </c>
      <c r="P148" t="s">
        <v>285</v>
      </c>
      <c r="Q148">
        <v>17061</v>
      </c>
      <c r="R148" s="10">
        <f>Table1[[#This Row],[سعر المتر علينا]]*Table1[[#This Row],[Volume (m³)]]</f>
        <v>9596.8125000000018</v>
      </c>
    </row>
    <row r="149" spans="1:18" x14ac:dyDescent="0.3">
      <c r="A149" t="s">
        <v>129</v>
      </c>
      <c r="B149" s="3">
        <v>46214</v>
      </c>
      <c r="C149" t="s">
        <v>255</v>
      </c>
      <c r="D149" t="str">
        <f>IF(Table1[[#This Row],[Customer Name]]="", "",_xlfn.XLOOKUP(C149,Table7[Customer Name],Table7[Customer ID]," "))</f>
        <v>C-046</v>
      </c>
      <c r="E149" t="s">
        <v>278</v>
      </c>
      <c r="F149" t="s">
        <v>282</v>
      </c>
      <c r="G149">
        <v>10</v>
      </c>
      <c r="H149">
        <v>2.5</v>
      </c>
      <c r="I149">
        <v>20700</v>
      </c>
      <c r="J149">
        <v>540</v>
      </c>
      <c r="K149">
        <v>74</v>
      </c>
      <c r="L149">
        <f>IF(OR(Table1[[#This Row],[Quantity]]="",Table1[[#This Row],[Length (cm)]]=""),"",(Table1[[#This Row],[Width (cm)]]/100)*(Table1[[#This Row],[Thickness (cm)]]/100)*(Table1[[#This Row],[Length (cm)]]/100)*Table1[[#This Row],[Quantity]])</f>
        <v>0.99900000000000022</v>
      </c>
      <c r="M149">
        <f>IF(Table1[[#This Row],[Volume (m³)]]="","",Table1[[#This Row],[Volume (m³)]]*Table1[[#This Row],[Price / m³]])</f>
        <v>20679.300000000003</v>
      </c>
      <c r="N149">
        <v>20700</v>
      </c>
      <c r="O149">
        <v>20700</v>
      </c>
      <c r="P149" t="s">
        <v>288</v>
      </c>
      <c r="Q149">
        <v>17061</v>
      </c>
      <c r="R149" s="10">
        <f>Table1[[#This Row],[سعر المتر علينا]]*Table1[[#This Row],[Volume (m³)]]</f>
        <v>17043.939000000002</v>
      </c>
    </row>
    <row r="150" spans="1:18" x14ac:dyDescent="0.3">
      <c r="A150" t="s">
        <v>130</v>
      </c>
      <c r="B150" s="3">
        <v>46214</v>
      </c>
      <c r="C150" t="s">
        <v>256</v>
      </c>
      <c r="D150" t="str">
        <f>IF(Table1[[#This Row],[Customer Name]]="", "",_xlfn.XLOOKUP(C150,Table7[Customer Name],Table7[Customer ID]," "))</f>
        <v>C-047</v>
      </c>
      <c r="E150" t="s">
        <v>278</v>
      </c>
      <c r="F150" t="s">
        <v>282</v>
      </c>
      <c r="G150">
        <v>10</v>
      </c>
      <c r="H150">
        <v>2.5</v>
      </c>
      <c r="I150">
        <v>20500</v>
      </c>
      <c r="J150">
        <v>390</v>
      </c>
      <c r="K150">
        <v>55</v>
      </c>
      <c r="L150">
        <f>IF(OR(Table1[[#This Row],[Quantity]]="",Table1[[#This Row],[Length (cm)]]=""),"",(Table1[[#This Row],[Width (cm)]]/100)*(Table1[[#This Row],[Thickness (cm)]]/100)*(Table1[[#This Row],[Length (cm)]]/100)*Table1[[#This Row],[Quantity]])</f>
        <v>0.53625000000000012</v>
      </c>
      <c r="M150">
        <f>IF(Table1[[#This Row],[Volume (m³)]]="","",Table1[[#This Row],[Volume (m³)]]*Table1[[#This Row],[Price / m³]])</f>
        <v>10993.125000000002</v>
      </c>
      <c r="N150">
        <v>11000</v>
      </c>
      <c r="O150">
        <v>11000</v>
      </c>
      <c r="P150" t="s">
        <v>288</v>
      </c>
      <c r="Q150">
        <v>17061</v>
      </c>
      <c r="R150" s="10">
        <f>Table1[[#This Row],[سعر المتر علينا]]*Table1[[#This Row],[Volume (m³)]]</f>
        <v>9148.9612500000021</v>
      </c>
    </row>
    <row r="151" spans="1:18" x14ac:dyDescent="0.3">
      <c r="A151" t="s">
        <v>130</v>
      </c>
      <c r="B151" s="3">
        <v>46214</v>
      </c>
      <c r="C151" t="s">
        <v>256</v>
      </c>
      <c r="D151" t="str">
        <f>IF(Table1[[#This Row],[Customer Name]]="", "",_xlfn.XLOOKUP(C151,Table7[Customer Name],Table7[Customer ID]," "))</f>
        <v>C-047</v>
      </c>
      <c r="E151" t="s">
        <v>278</v>
      </c>
      <c r="F151" t="s">
        <v>282</v>
      </c>
      <c r="G151">
        <v>10</v>
      </c>
      <c r="H151">
        <v>2.5</v>
      </c>
      <c r="I151">
        <v>20500</v>
      </c>
      <c r="J151">
        <v>360</v>
      </c>
      <c r="K151">
        <v>55</v>
      </c>
      <c r="L151">
        <f>IF(OR(Table1[[#This Row],[Quantity]]="",Table1[[#This Row],[Length (cm)]]=""),"",(Table1[[#This Row],[Width (cm)]]/100)*(Table1[[#This Row],[Thickness (cm)]]/100)*(Table1[[#This Row],[Length (cm)]]/100)*Table1[[#This Row],[Quantity]])</f>
        <v>0.49500000000000016</v>
      </c>
      <c r="M151">
        <f>IF(Table1[[#This Row],[Volume (m³)]]="","",Table1[[#This Row],[Volume (m³)]]*Table1[[#This Row],[Price / m³]])</f>
        <v>10147.500000000004</v>
      </c>
      <c r="N151">
        <v>10200</v>
      </c>
      <c r="O151">
        <v>10200</v>
      </c>
      <c r="P151" t="s">
        <v>288</v>
      </c>
      <c r="Q151">
        <v>17061</v>
      </c>
      <c r="R151" s="10">
        <f>Table1[[#This Row],[سعر المتر علينا]]*Table1[[#This Row],[Volume (m³)]]</f>
        <v>8445.1950000000033</v>
      </c>
    </row>
    <row r="152" spans="1:18" x14ac:dyDescent="0.3">
      <c r="A152" t="s">
        <v>131</v>
      </c>
      <c r="B152" s="3">
        <v>46215</v>
      </c>
      <c r="C152" t="s">
        <v>257</v>
      </c>
      <c r="D152" t="str">
        <f>IF(Table1[[#This Row],[Customer Name]]="", "",_xlfn.XLOOKUP(C152,Table7[Customer Name],Table7[Customer ID]," "))</f>
        <v>C-048</v>
      </c>
      <c r="E152" t="s">
        <v>278</v>
      </c>
      <c r="F152" t="s">
        <v>282</v>
      </c>
      <c r="G152">
        <v>10</v>
      </c>
      <c r="H152">
        <v>2.5</v>
      </c>
      <c r="I152">
        <v>20800</v>
      </c>
      <c r="J152">
        <v>390</v>
      </c>
      <c r="K152">
        <v>75</v>
      </c>
      <c r="L152">
        <f>IF(OR(Table1[[#This Row],[Quantity]]="",Table1[[#This Row],[Length (cm)]]=""),"",(Table1[[#This Row],[Width (cm)]]/100)*(Table1[[#This Row],[Thickness (cm)]]/100)*(Table1[[#This Row],[Length (cm)]]/100)*Table1[[#This Row],[Quantity]])</f>
        <v>0.73125000000000018</v>
      </c>
      <c r="M152">
        <f>IF(Table1[[#This Row],[Volume (m³)]]="","",Table1[[#This Row],[Volume (m³)]]*Table1[[#This Row],[Price / m³]])</f>
        <v>15210.000000000004</v>
      </c>
      <c r="N152">
        <v>15300</v>
      </c>
      <c r="O152">
        <v>15300</v>
      </c>
      <c r="P152" t="s">
        <v>288</v>
      </c>
      <c r="Q152">
        <v>17061</v>
      </c>
      <c r="R152" s="10">
        <f>Table1[[#This Row],[سعر المتر علينا]]*Table1[[#This Row],[Volume (m³)]]</f>
        <v>12475.856250000003</v>
      </c>
    </row>
    <row r="153" spans="1:18" x14ac:dyDescent="0.3">
      <c r="A153" t="s">
        <v>131</v>
      </c>
      <c r="B153" s="3">
        <v>46215</v>
      </c>
      <c r="C153" t="s">
        <v>257</v>
      </c>
      <c r="D153" t="str">
        <f>IF(Table1[[#This Row],[Customer Name]]="", "",_xlfn.XLOOKUP(C153,Table7[Customer Name],Table7[Customer ID]," "))</f>
        <v>C-048</v>
      </c>
      <c r="E153" t="s">
        <v>278</v>
      </c>
      <c r="F153" t="s">
        <v>282</v>
      </c>
      <c r="G153">
        <v>10</v>
      </c>
      <c r="H153">
        <v>2.5</v>
      </c>
      <c r="I153">
        <v>20800</v>
      </c>
      <c r="J153">
        <v>420</v>
      </c>
      <c r="K153">
        <v>25</v>
      </c>
      <c r="L153">
        <f>IF(OR(Table1[[#This Row],[Quantity]]="",Table1[[#This Row],[Length (cm)]]=""),"",(Table1[[#This Row],[Width (cm)]]/100)*(Table1[[#This Row],[Thickness (cm)]]/100)*(Table1[[#This Row],[Length (cm)]]/100)*Table1[[#This Row],[Quantity]])</f>
        <v>0.26250000000000007</v>
      </c>
      <c r="M153">
        <f>IF(Table1[[#This Row],[Volume (m³)]]="","",Table1[[#This Row],[Volume (m³)]]*Table1[[#This Row],[Price / m³]])</f>
        <v>5460.0000000000018</v>
      </c>
      <c r="N153">
        <v>5500</v>
      </c>
      <c r="O153">
        <v>5600</v>
      </c>
      <c r="P153" t="s">
        <v>288</v>
      </c>
      <c r="Q153">
        <v>17061</v>
      </c>
      <c r="R153" s="10">
        <f>Table1[[#This Row],[سعر المتر علينا]]*Table1[[#This Row],[Volume (m³)]]</f>
        <v>4478.5125000000007</v>
      </c>
    </row>
    <row r="154" spans="1:18" x14ac:dyDescent="0.3">
      <c r="A154" t="s">
        <v>132</v>
      </c>
      <c r="B154" s="3">
        <v>46217</v>
      </c>
      <c r="C154" t="s">
        <v>250</v>
      </c>
      <c r="D154" t="str">
        <f>IF(Table1[[#This Row],[Customer Name]]="", "",_xlfn.XLOOKUP(C154,Table7[Customer Name],Table7[Customer ID]," "))</f>
        <v>C-041</v>
      </c>
      <c r="E154" t="s">
        <v>280</v>
      </c>
      <c r="F154" t="s">
        <v>284</v>
      </c>
      <c r="G154">
        <v>7.5</v>
      </c>
      <c r="H154">
        <v>7.5</v>
      </c>
      <c r="I154">
        <v>22000</v>
      </c>
      <c r="J154">
        <v>300</v>
      </c>
      <c r="K154">
        <v>15</v>
      </c>
      <c r="L154">
        <f>IF(OR(Table1[[#This Row],[Quantity]]="",Table1[[#This Row],[Length (cm)]]=""),"",(Table1[[#This Row],[Width (cm)]]/100)*(Table1[[#This Row],[Thickness (cm)]]/100)*(Table1[[#This Row],[Length (cm)]]/100)*Table1[[#This Row],[Quantity]])</f>
        <v>0.25312500000000004</v>
      </c>
      <c r="M154">
        <f>IF(Table1[[#This Row],[Volume (m³)]]="","",Table1[[#This Row],[Volume (m³)]]*Table1[[#This Row],[Price / m³]])</f>
        <v>5568.7500000000009</v>
      </c>
      <c r="N154">
        <v>5500</v>
      </c>
      <c r="O154">
        <v>5500</v>
      </c>
      <c r="P154" t="s">
        <v>288</v>
      </c>
      <c r="Q154">
        <v>17061</v>
      </c>
      <c r="R154" s="10">
        <f>Table1[[#This Row],[سعر المتر علينا]]*Table1[[#This Row],[Volume (m³)]]</f>
        <v>4318.5656250000011</v>
      </c>
    </row>
    <row r="155" spans="1:18" x14ac:dyDescent="0.3">
      <c r="A155" t="s">
        <v>133</v>
      </c>
      <c r="B155" s="3">
        <v>46219</v>
      </c>
      <c r="C155" t="s">
        <v>251</v>
      </c>
      <c r="D155" t="str">
        <f>IF(Table1[[#This Row],[Customer Name]]="", "",_xlfn.XLOOKUP(C155,Table7[Customer Name],Table7[Customer ID]," "))</f>
        <v>C-042</v>
      </c>
      <c r="E155" t="s">
        <v>278</v>
      </c>
      <c r="F155" t="s">
        <v>282</v>
      </c>
      <c r="G155">
        <v>10</v>
      </c>
      <c r="H155">
        <v>2.5</v>
      </c>
      <c r="I155">
        <v>21000</v>
      </c>
      <c r="J155">
        <v>390</v>
      </c>
      <c r="K155">
        <v>4</v>
      </c>
      <c r="L155">
        <f>IF(OR(Table1[[#This Row],[Quantity]]="",Table1[[#This Row],[Length (cm)]]=""),"",(Table1[[#This Row],[Width (cm)]]/100)*(Table1[[#This Row],[Thickness (cm)]]/100)*(Table1[[#This Row],[Length (cm)]]/100)*Table1[[#This Row],[Quantity]])</f>
        <v>3.9000000000000007E-2</v>
      </c>
      <c r="M155">
        <f>IF(Table1[[#This Row],[Volume (m³)]]="","",Table1[[#This Row],[Volume (m³)]]*Table1[[#This Row],[Price / m³]])</f>
        <v>819.00000000000011</v>
      </c>
      <c r="N155">
        <v>820</v>
      </c>
      <c r="O155">
        <v>820</v>
      </c>
      <c r="P155" t="s">
        <v>288</v>
      </c>
      <c r="Q155">
        <v>17061</v>
      </c>
      <c r="R155" s="10">
        <f>Table1[[#This Row],[سعر المتر علينا]]*Table1[[#This Row],[Volume (m³)]]</f>
        <v>665.37900000000013</v>
      </c>
    </row>
    <row r="156" spans="1:18" x14ac:dyDescent="0.3">
      <c r="A156" t="s">
        <v>133</v>
      </c>
      <c r="B156" s="3">
        <v>46219</v>
      </c>
      <c r="C156" t="s">
        <v>251</v>
      </c>
      <c r="D156" t="str">
        <f>IF(Table1[[#This Row],[Customer Name]]="", "",_xlfn.XLOOKUP(C156,Table7[Customer Name],Table7[Customer ID]," "))</f>
        <v>C-042</v>
      </c>
      <c r="E156" t="s">
        <v>278</v>
      </c>
      <c r="F156" t="s">
        <v>283</v>
      </c>
      <c r="G156">
        <v>10</v>
      </c>
      <c r="H156">
        <v>2.5</v>
      </c>
      <c r="I156">
        <v>21000</v>
      </c>
      <c r="J156">
        <v>150</v>
      </c>
      <c r="K156">
        <v>4</v>
      </c>
      <c r="L156">
        <f>IF(OR(Table1[[#This Row],[Quantity]]="",Table1[[#This Row],[Length (cm)]]=""),"",(Table1[[#This Row],[Width (cm)]]/100)*(Table1[[#This Row],[Thickness (cm)]]/100)*(Table1[[#This Row],[Length (cm)]]/100)*Table1[[#This Row],[Quantity]])</f>
        <v>1.5000000000000003E-2</v>
      </c>
      <c r="M156">
        <f>IF(Table1[[#This Row],[Volume (m³)]]="","",Table1[[#This Row],[Volume (m³)]]*Table1[[#This Row],[Price / m³]])</f>
        <v>315.00000000000006</v>
      </c>
      <c r="N156">
        <v>320</v>
      </c>
      <c r="O156">
        <v>320</v>
      </c>
      <c r="P156" t="s">
        <v>288</v>
      </c>
      <c r="Q156">
        <v>17061</v>
      </c>
      <c r="R156" s="10">
        <f>Table1[[#This Row],[سعر المتر علينا]]*Table1[[#This Row],[Volume (m³)]]</f>
        <v>255.91500000000005</v>
      </c>
    </row>
    <row r="157" spans="1:18" x14ac:dyDescent="0.3">
      <c r="A157" t="s">
        <v>134</v>
      </c>
      <c r="B157" s="3">
        <v>46222</v>
      </c>
      <c r="C157" t="s">
        <v>252</v>
      </c>
      <c r="D157" t="str">
        <f>IF(Table1[[#This Row],[Customer Name]]="", "",_xlfn.XLOOKUP(C157,Table7[Customer Name],Table7[Customer ID]," "))</f>
        <v>C-043</v>
      </c>
      <c r="E157" t="s">
        <v>278</v>
      </c>
      <c r="F157" t="s">
        <v>283</v>
      </c>
      <c r="G157">
        <v>10</v>
      </c>
      <c r="H157">
        <v>2.5</v>
      </c>
      <c r="I157">
        <v>20000</v>
      </c>
      <c r="J157">
        <v>150</v>
      </c>
      <c r="K157">
        <v>7</v>
      </c>
      <c r="L157">
        <f>IF(OR(Table1[[#This Row],[Quantity]]="",Table1[[#This Row],[Length (cm)]]=""),"",(Table1[[#This Row],[Width (cm)]]/100)*(Table1[[#This Row],[Thickness (cm)]]/100)*(Table1[[#This Row],[Length (cm)]]/100)*Table1[[#This Row],[Quantity]])</f>
        <v>2.6250000000000006E-2</v>
      </c>
      <c r="M157">
        <f>IF(Table1[[#This Row],[Volume (m³)]]="","",Table1[[#This Row],[Volume (m³)]]*Table1[[#This Row],[Price / m³]])</f>
        <v>525.00000000000011</v>
      </c>
      <c r="N157">
        <v>525</v>
      </c>
      <c r="O157">
        <v>525</v>
      </c>
      <c r="P157" t="s">
        <v>288</v>
      </c>
      <c r="Q157">
        <v>17061</v>
      </c>
      <c r="R157" s="10">
        <f>Table1[[#This Row],[سعر المتر علينا]]*Table1[[#This Row],[Volume (m³)]]</f>
        <v>447.85125000000011</v>
      </c>
    </row>
    <row r="158" spans="1:18" x14ac:dyDescent="0.3">
      <c r="A158" t="s">
        <v>134</v>
      </c>
      <c r="B158" s="3">
        <v>46223</v>
      </c>
      <c r="C158" t="s">
        <v>252</v>
      </c>
      <c r="D158" t="str">
        <f>IF(Table1[[#This Row],[Customer Name]]="", "",_xlfn.XLOOKUP(C158,Table7[Customer Name],Table7[Customer ID]," "))</f>
        <v>C-043</v>
      </c>
      <c r="E158" t="s">
        <v>278</v>
      </c>
      <c r="F158" t="s">
        <v>283</v>
      </c>
      <c r="G158">
        <v>10</v>
      </c>
      <c r="H158">
        <v>2.2000000000000002</v>
      </c>
      <c r="I158">
        <v>21000</v>
      </c>
      <c r="J158">
        <v>480</v>
      </c>
      <c r="K158">
        <v>1</v>
      </c>
      <c r="L158">
        <f>IF(OR(Table1[[#This Row],[Quantity]]="",Table1[[#This Row],[Length (cm)]]=""),"",(Table1[[#This Row],[Width (cm)]]/100)*(Table1[[#This Row],[Thickness (cm)]]/100)*(Table1[[#This Row],[Length (cm)]]/100)*Table1[[#This Row],[Quantity]])</f>
        <v>1.056E-2</v>
      </c>
      <c r="M158">
        <f>IF(Table1[[#This Row],[Volume (m³)]]="","",Table1[[#This Row],[Volume (m³)]]*Table1[[#This Row],[Price / m³]])</f>
        <v>221.76</v>
      </c>
      <c r="N158">
        <v>220</v>
      </c>
      <c r="O158">
        <v>220</v>
      </c>
      <c r="P158" t="s">
        <v>288</v>
      </c>
      <c r="Q158">
        <v>17061</v>
      </c>
      <c r="R158" s="10">
        <f>Table1[[#This Row],[سعر المتر علينا]]*Table1[[#This Row],[Volume (m³)]]</f>
        <v>180.16416000000001</v>
      </c>
    </row>
    <row r="159" spans="1:18" x14ac:dyDescent="0.3">
      <c r="A159" t="s">
        <v>135</v>
      </c>
      <c r="B159" s="3">
        <v>46223</v>
      </c>
      <c r="C159" t="s">
        <v>258</v>
      </c>
      <c r="D159" t="str">
        <f>IF(Table1[[#This Row],[Customer Name]]="", "",_xlfn.XLOOKUP(C159,Table7[Customer Name],Table7[Customer ID]," "))</f>
        <v>C-049</v>
      </c>
      <c r="E159" t="s">
        <v>278</v>
      </c>
      <c r="F159" t="s">
        <v>283</v>
      </c>
      <c r="G159">
        <v>10</v>
      </c>
      <c r="H159">
        <v>2.5</v>
      </c>
      <c r="I159">
        <v>19500</v>
      </c>
      <c r="J159">
        <v>120</v>
      </c>
      <c r="K159">
        <v>90</v>
      </c>
      <c r="L159">
        <f>IF(OR(Table1[[#This Row],[Quantity]]="",Table1[[#This Row],[Length (cm)]]=""),"",(Table1[[#This Row],[Width (cm)]]/100)*(Table1[[#This Row],[Thickness (cm)]]/100)*(Table1[[#This Row],[Length (cm)]]/100)*Table1[[#This Row],[Quantity]])</f>
        <v>0.27</v>
      </c>
      <c r="M159">
        <f>IF(Table1[[#This Row],[Volume (m³)]]="","",Table1[[#This Row],[Volume (m³)]]*Table1[[#This Row],[Price / m³]])</f>
        <v>5265</v>
      </c>
      <c r="N159">
        <v>5265</v>
      </c>
      <c r="O159">
        <v>5265</v>
      </c>
      <c r="P159" t="s">
        <v>288</v>
      </c>
      <c r="Q159">
        <v>17061</v>
      </c>
      <c r="R159" s="10">
        <f>Table1[[#This Row],[سعر المتر علينا]]*Table1[[#This Row],[Volume (m³)]]</f>
        <v>4606.47</v>
      </c>
    </row>
    <row r="160" spans="1:18" x14ac:dyDescent="0.3">
      <c r="A160" t="s">
        <v>136</v>
      </c>
      <c r="B160" s="3">
        <v>46223</v>
      </c>
      <c r="C160" t="s">
        <v>258</v>
      </c>
      <c r="D160" t="str">
        <f>IF(Table1[[#This Row],[Customer Name]]="", "",_xlfn.XLOOKUP(C160,Table7[Customer Name],Table7[Customer ID]," "))</f>
        <v>C-049</v>
      </c>
      <c r="E160" t="s">
        <v>278</v>
      </c>
      <c r="F160" t="s">
        <v>283</v>
      </c>
      <c r="G160">
        <v>10</v>
      </c>
      <c r="H160">
        <v>2.5</v>
      </c>
      <c r="I160">
        <v>19500</v>
      </c>
      <c r="J160">
        <v>90</v>
      </c>
      <c r="K160">
        <v>111</v>
      </c>
      <c r="L160">
        <f>IF(OR(Table1[[#This Row],[Quantity]]="",Table1[[#This Row],[Length (cm)]]=""),"",(Table1[[#This Row],[Width (cm)]]/100)*(Table1[[#This Row],[Thickness (cm)]]/100)*(Table1[[#This Row],[Length (cm)]]/100)*Table1[[#This Row],[Quantity]])</f>
        <v>0.24975000000000008</v>
      </c>
      <c r="M160">
        <f>IF(Table1[[#This Row],[Volume (m³)]]="","",Table1[[#This Row],[Volume (m³)]]*Table1[[#This Row],[Price / m³]])</f>
        <v>4870.1250000000018</v>
      </c>
      <c r="N160">
        <v>4875</v>
      </c>
      <c r="O160">
        <v>4875</v>
      </c>
      <c r="P160" t="s">
        <v>288</v>
      </c>
      <c r="Q160">
        <v>17061</v>
      </c>
      <c r="R160" s="10">
        <f>Table1[[#This Row],[سعر المتر علينا]]*Table1[[#This Row],[Volume (m³)]]</f>
        <v>4260.9847500000014</v>
      </c>
    </row>
    <row r="161" spans="1:18" x14ac:dyDescent="0.3">
      <c r="A161" t="s">
        <v>137</v>
      </c>
      <c r="B161" s="3">
        <v>46224</v>
      </c>
      <c r="C161" t="s">
        <v>256</v>
      </c>
      <c r="D161" t="str">
        <f>IF(Table1[[#This Row],[Customer Name]]="", "",_xlfn.XLOOKUP(C161,Table7[Customer Name],Table7[Customer ID]," "))</f>
        <v>C-047</v>
      </c>
      <c r="E161" t="s">
        <v>278</v>
      </c>
      <c r="F161" t="s">
        <v>282</v>
      </c>
      <c r="G161">
        <v>10</v>
      </c>
      <c r="H161">
        <v>2.5</v>
      </c>
      <c r="I161">
        <v>20500</v>
      </c>
      <c r="J161">
        <v>420</v>
      </c>
      <c r="K161">
        <v>70</v>
      </c>
      <c r="L161">
        <f>IF(OR(Table1[[#This Row],[Quantity]]="",Table1[[#This Row],[Length (cm)]]=""),"",(Table1[[#This Row],[Width (cm)]]/100)*(Table1[[#This Row],[Thickness (cm)]]/100)*(Table1[[#This Row],[Length (cm)]]/100)*Table1[[#This Row],[Quantity]])</f>
        <v>0.73500000000000021</v>
      </c>
      <c r="M161">
        <f>IF(Table1[[#This Row],[Volume (m³)]]="","",Table1[[#This Row],[Volume (m³)]]*Table1[[#This Row],[Price / m³]])</f>
        <v>15067.500000000004</v>
      </c>
      <c r="N161">
        <v>15075</v>
      </c>
      <c r="O161">
        <v>15075</v>
      </c>
      <c r="P161" t="s">
        <v>288</v>
      </c>
      <c r="Q161">
        <v>17061</v>
      </c>
      <c r="R161" s="10">
        <f>Table1[[#This Row],[سعر المتر علينا]]*Table1[[#This Row],[Volume (m³)]]</f>
        <v>12539.835000000003</v>
      </c>
    </row>
    <row r="162" spans="1:18" x14ac:dyDescent="0.3">
      <c r="A162" t="s">
        <v>137</v>
      </c>
      <c r="B162" s="3">
        <v>46224</v>
      </c>
      <c r="C162" t="s">
        <v>256</v>
      </c>
      <c r="D162" t="str">
        <f>IF(Table1[[#This Row],[Customer Name]]="", "",_xlfn.XLOOKUP(C162,Table7[Customer Name],Table7[Customer ID]," "))</f>
        <v>C-047</v>
      </c>
      <c r="E162" t="s">
        <v>278</v>
      </c>
      <c r="F162" t="s">
        <v>282</v>
      </c>
      <c r="G162">
        <v>10</v>
      </c>
      <c r="H162">
        <v>2.5</v>
      </c>
      <c r="I162">
        <v>20500</v>
      </c>
      <c r="J162">
        <v>450</v>
      </c>
      <c r="K162">
        <v>25</v>
      </c>
      <c r="L162">
        <f>IF(OR(Table1[[#This Row],[Quantity]]="",Table1[[#This Row],[Length (cm)]]=""),"",(Table1[[#This Row],[Width (cm)]]/100)*(Table1[[#This Row],[Thickness (cm)]]/100)*(Table1[[#This Row],[Length (cm)]]/100)*Table1[[#This Row],[Quantity]])</f>
        <v>0.28125000000000006</v>
      </c>
      <c r="M162">
        <f>IF(Table1[[#This Row],[Volume (m³)]]="","",Table1[[#This Row],[Volume (m³)]]*Table1[[#This Row],[Price / m³]])</f>
        <v>5765.6250000000009</v>
      </c>
      <c r="N162">
        <v>5765</v>
      </c>
      <c r="O162">
        <v>5765</v>
      </c>
      <c r="P162" t="s">
        <v>288</v>
      </c>
      <c r="Q162">
        <v>17061</v>
      </c>
      <c r="R162" s="10">
        <f>Table1[[#This Row],[سعر المتر علينا]]*Table1[[#This Row],[Volume (m³)]]</f>
        <v>4798.4062500000009</v>
      </c>
    </row>
    <row r="163" spans="1:18" x14ac:dyDescent="0.3">
      <c r="A163" t="s">
        <v>138</v>
      </c>
      <c r="B163" s="3">
        <v>46224</v>
      </c>
      <c r="C163" t="s">
        <v>253</v>
      </c>
      <c r="D163" t="str">
        <f>IF(Table1[[#This Row],[Customer Name]]="", "",_xlfn.XLOOKUP(C163,Table7[Customer Name],Table7[Customer ID]," "))</f>
        <v>C-044</v>
      </c>
      <c r="E163" t="s">
        <v>278</v>
      </c>
      <c r="F163" t="s">
        <v>282</v>
      </c>
      <c r="G163">
        <v>10</v>
      </c>
      <c r="H163">
        <v>2.5</v>
      </c>
      <c r="I163">
        <v>21000</v>
      </c>
      <c r="J163">
        <v>420</v>
      </c>
      <c r="K163">
        <v>2</v>
      </c>
      <c r="L163">
        <f>IF(OR(Table1[[#This Row],[Quantity]]="",Table1[[#This Row],[Length (cm)]]=""),"",(Table1[[#This Row],[Width (cm)]]/100)*(Table1[[#This Row],[Thickness (cm)]]/100)*(Table1[[#This Row],[Length (cm)]]/100)*Table1[[#This Row],[Quantity]])</f>
        <v>2.1000000000000005E-2</v>
      </c>
      <c r="M163">
        <f>IF(Table1[[#This Row],[Volume (m³)]]="","",Table1[[#This Row],[Volume (m³)]]*Table1[[#This Row],[Price / m³]])</f>
        <v>441.00000000000011</v>
      </c>
      <c r="N163">
        <v>440</v>
      </c>
      <c r="O163">
        <v>440</v>
      </c>
      <c r="P163" t="s">
        <v>288</v>
      </c>
      <c r="Q163">
        <v>17061</v>
      </c>
      <c r="R163" s="10">
        <f>Table1[[#This Row],[سعر المتر علينا]]*Table1[[#This Row],[Volume (m³)]]</f>
        <v>358.28100000000006</v>
      </c>
    </row>
    <row r="164" spans="1:18" x14ac:dyDescent="0.3">
      <c r="A164" t="s">
        <v>138</v>
      </c>
      <c r="B164" s="3">
        <v>46224</v>
      </c>
      <c r="C164" t="s">
        <v>253</v>
      </c>
      <c r="D164" t="str">
        <f>IF(Table1[[#This Row],[Customer Name]]="", "",_xlfn.XLOOKUP(C164,Table7[Customer Name],Table7[Customer ID]," "))</f>
        <v>C-044</v>
      </c>
      <c r="E164" t="s">
        <v>278</v>
      </c>
      <c r="F164" t="s">
        <v>282</v>
      </c>
      <c r="G164">
        <v>10</v>
      </c>
      <c r="H164">
        <v>2.5</v>
      </c>
      <c r="I164">
        <v>21000</v>
      </c>
      <c r="J164">
        <v>390</v>
      </c>
      <c r="K164">
        <v>2</v>
      </c>
      <c r="L164">
        <f>IF(OR(Table1[[#This Row],[Quantity]]="",Table1[[#This Row],[Length (cm)]]=""),"",(Table1[[#This Row],[Width (cm)]]/100)*(Table1[[#This Row],[Thickness (cm)]]/100)*(Table1[[#This Row],[Length (cm)]]/100)*Table1[[#This Row],[Quantity]])</f>
        <v>1.9500000000000003E-2</v>
      </c>
      <c r="M164">
        <f>IF(Table1[[#This Row],[Volume (m³)]]="","",Table1[[#This Row],[Volume (m³)]]*Table1[[#This Row],[Price / m³]])</f>
        <v>409.50000000000006</v>
      </c>
      <c r="N164">
        <v>410</v>
      </c>
      <c r="O164">
        <v>410</v>
      </c>
      <c r="P164" t="s">
        <v>288</v>
      </c>
      <c r="Q164">
        <v>17061</v>
      </c>
      <c r="R164" s="10">
        <f>Table1[[#This Row],[سعر المتر علينا]]*Table1[[#This Row],[Volume (m³)]]</f>
        <v>332.68950000000007</v>
      </c>
    </row>
    <row r="165" spans="1:18" x14ac:dyDescent="0.3">
      <c r="A165" t="s">
        <v>138</v>
      </c>
      <c r="B165" s="3">
        <v>46224</v>
      </c>
      <c r="C165" t="s">
        <v>253</v>
      </c>
      <c r="D165" t="str">
        <f>IF(Table1[[#This Row],[Customer Name]]="", "",_xlfn.XLOOKUP(C165,Table7[Customer Name],Table7[Customer ID]," "))</f>
        <v>C-044</v>
      </c>
      <c r="E165" t="s">
        <v>278</v>
      </c>
      <c r="F165" t="s">
        <v>282</v>
      </c>
      <c r="G165">
        <v>10</v>
      </c>
      <c r="H165">
        <v>2.5</v>
      </c>
      <c r="I165">
        <v>21000</v>
      </c>
      <c r="J165">
        <v>360</v>
      </c>
      <c r="K165">
        <v>2</v>
      </c>
      <c r="L165">
        <f>IF(OR(Table1[[#This Row],[Quantity]]="",Table1[[#This Row],[Length (cm)]]=""),"",(Table1[[#This Row],[Width (cm)]]/100)*(Table1[[#This Row],[Thickness (cm)]]/100)*(Table1[[#This Row],[Length (cm)]]/100)*Table1[[#This Row],[Quantity]])</f>
        <v>1.8000000000000006E-2</v>
      </c>
      <c r="M165">
        <f>IF(Table1[[#This Row],[Volume (m³)]]="","",Table1[[#This Row],[Volume (m³)]]*Table1[[#This Row],[Price / m³]])</f>
        <v>378.00000000000011</v>
      </c>
      <c r="N165">
        <v>350</v>
      </c>
      <c r="O165">
        <v>350</v>
      </c>
      <c r="P165" t="s">
        <v>288</v>
      </c>
      <c r="Q165">
        <v>17061</v>
      </c>
      <c r="R165" s="10">
        <f>Table1[[#This Row],[سعر المتر علينا]]*Table1[[#This Row],[Volume (m³)]]</f>
        <v>307.09800000000007</v>
      </c>
    </row>
    <row r="166" spans="1:18" x14ac:dyDescent="0.3">
      <c r="A166" t="s">
        <v>139</v>
      </c>
      <c r="B166" s="3">
        <v>46225</v>
      </c>
      <c r="C166" t="s">
        <v>270</v>
      </c>
      <c r="D166" t="str">
        <f>IF(Table1[[#This Row],[Customer Name]]="", "",_xlfn.XLOOKUP(C166,Table7[Customer Name],Table7[Customer ID]," "))</f>
        <v>C-011</v>
      </c>
      <c r="E166" t="s">
        <v>278</v>
      </c>
      <c r="F166" t="s">
        <v>282</v>
      </c>
      <c r="G166">
        <v>10</v>
      </c>
      <c r="H166">
        <v>2.5</v>
      </c>
      <c r="I166">
        <v>21000</v>
      </c>
      <c r="J166">
        <v>450</v>
      </c>
      <c r="K166">
        <v>2</v>
      </c>
      <c r="L166">
        <f>IF(OR(Table1[[#This Row],[Quantity]]="",Table1[[#This Row],[Length (cm)]]=""),"",(Table1[[#This Row],[Width (cm)]]/100)*(Table1[[#This Row],[Thickness (cm)]]/100)*(Table1[[#This Row],[Length (cm)]]/100)*Table1[[#This Row],[Quantity]])</f>
        <v>2.2500000000000006E-2</v>
      </c>
      <c r="M166">
        <f>IF(Table1[[#This Row],[Volume (m³)]]="","",Table1[[#This Row],[Volume (m³)]]*Table1[[#This Row],[Price / m³]])</f>
        <v>472.50000000000011</v>
      </c>
      <c r="N166">
        <v>475</v>
      </c>
      <c r="O166">
        <v>475</v>
      </c>
      <c r="P166" t="s">
        <v>288</v>
      </c>
      <c r="Q166">
        <v>17061</v>
      </c>
      <c r="R166" s="10">
        <f>Table1[[#This Row],[سعر المتر علينا]]*Table1[[#This Row],[Volume (m³)]]</f>
        <v>383.87250000000012</v>
      </c>
    </row>
    <row r="167" spans="1:18" x14ac:dyDescent="0.3">
      <c r="A167" t="s">
        <v>140</v>
      </c>
      <c r="B167" s="3">
        <v>46225</v>
      </c>
      <c r="C167" t="s">
        <v>258</v>
      </c>
      <c r="D167" t="str">
        <f>IF(Table1[[#This Row],[Customer Name]]="", "",_xlfn.XLOOKUP(C167,Table7[Customer Name],Table7[Customer ID]," "))</f>
        <v>C-049</v>
      </c>
      <c r="E167" t="s">
        <v>278</v>
      </c>
      <c r="F167" t="s">
        <v>282</v>
      </c>
      <c r="G167">
        <v>10</v>
      </c>
      <c r="H167">
        <v>2.5</v>
      </c>
      <c r="I167">
        <v>21000</v>
      </c>
      <c r="J167">
        <v>210</v>
      </c>
      <c r="K167">
        <v>14</v>
      </c>
      <c r="L167">
        <f>IF(OR(Table1[[#This Row],[Quantity]]="",Table1[[#This Row],[Length (cm)]]=""),"",(Table1[[#This Row],[Width (cm)]]/100)*(Table1[[#This Row],[Thickness (cm)]]/100)*(Table1[[#This Row],[Length (cm)]]/100)*Table1[[#This Row],[Quantity]])</f>
        <v>7.350000000000001E-2</v>
      </c>
      <c r="M167">
        <f>IF(Table1[[#This Row],[Volume (m³)]]="","",Table1[[#This Row],[Volume (m³)]]*Table1[[#This Row],[Price / m³]])</f>
        <v>1543.5000000000002</v>
      </c>
      <c r="N167">
        <v>1500</v>
      </c>
      <c r="O167">
        <v>1500</v>
      </c>
      <c r="P167" t="s">
        <v>288</v>
      </c>
      <c r="Q167">
        <v>17061</v>
      </c>
      <c r="R167" s="10">
        <f>Table1[[#This Row],[سعر المتر علينا]]*Table1[[#This Row],[Volume (m³)]]</f>
        <v>1253.9835000000003</v>
      </c>
    </row>
    <row r="168" spans="1:18" x14ac:dyDescent="0.3">
      <c r="A168" t="s">
        <v>141</v>
      </c>
      <c r="B168" s="3">
        <v>46225</v>
      </c>
      <c r="C168" t="s">
        <v>223</v>
      </c>
      <c r="D168" t="str">
        <f>IF(Table1[[#This Row],[Customer Name]]="", "",_xlfn.XLOOKUP(C168,Table7[Customer Name],Table7[Customer ID]," "))</f>
        <v>C-003</v>
      </c>
      <c r="E168" t="s">
        <v>278</v>
      </c>
      <c r="F168" t="s">
        <v>282</v>
      </c>
      <c r="G168">
        <v>10</v>
      </c>
      <c r="H168">
        <v>2</v>
      </c>
      <c r="I168">
        <v>17000</v>
      </c>
      <c r="J168">
        <v>480</v>
      </c>
      <c r="K168">
        <v>7</v>
      </c>
      <c r="L168">
        <f>IF(OR(Table1[[#This Row],[Quantity]]="",Table1[[#This Row],[Length (cm)]]=""),"",(Table1[[#This Row],[Width (cm)]]/100)*(Table1[[#This Row],[Thickness (cm)]]/100)*(Table1[[#This Row],[Length (cm)]]/100)*Table1[[#This Row],[Quantity]])</f>
        <v>6.7199999999999996E-2</v>
      </c>
      <c r="M168">
        <f>IF(Table1[[#This Row],[Volume (m³)]]="","",Table1[[#This Row],[Volume (m³)]]*Table1[[#This Row],[Price / m³]])</f>
        <v>1142.3999999999999</v>
      </c>
      <c r="N168">
        <v>1140</v>
      </c>
      <c r="O168">
        <v>0</v>
      </c>
      <c r="P168" t="s">
        <v>285</v>
      </c>
      <c r="Q168">
        <v>17061</v>
      </c>
      <c r="R168" s="10">
        <f>Table1[[#This Row],[سعر المتر علينا]]*Table1[[#This Row],[Volume (m³)]]</f>
        <v>1146.4992</v>
      </c>
    </row>
    <row r="169" spans="1:18" x14ac:dyDescent="0.3">
      <c r="A169" t="s">
        <v>141</v>
      </c>
      <c r="B169" s="3">
        <v>46225</v>
      </c>
      <c r="C169" t="s">
        <v>223</v>
      </c>
      <c r="D169" t="str">
        <f>IF(Table1[[#This Row],[Customer Name]]="", "",_xlfn.XLOOKUP(C169,Table7[Customer Name],Table7[Customer ID]," "))</f>
        <v>C-003</v>
      </c>
      <c r="E169" t="s">
        <v>278</v>
      </c>
      <c r="F169" t="s">
        <v>282</v>
      </c>
      <c r="G169">
        <v>10</v>
      </c>
      <c r="H169">
        <v>2</v>
      </c>
      <c r="I169">
        <v>17000</v>
      </c>
      <c r="J169">
        <v>420</v>
      </c>
      <c r="K169">
        <v>4</v>
      </c>
      <c r="L169">
        <f>IF(OR(Table1[[#This Row],[Quantity]]="",Table1[[#This Row],[Length (cm)]]=""),"",(Table1[[#This Row],[Width (cm)]]/100)*(Table1[[#This Row],[Thickness (cm)]]/100)*(Table1[[#This Row],[Length (cm)]]/100)*Table1[[#This Row],[Quantity]])</f>
        <v>3.3600000000000005E-2</v>
      </c>
      <c r="M169">
        <f>IF(Table1[[#This Row],[Volume (m³)]]="","",Table1[[#This Row],[Volume (m³)]]*Table1[[#This Row],[Price / m³]])</f>
        <v>571.20000000000005</v>
      </c>
      <c r="N169">
        <v>570</v>
      </c>
      <c r="O169">
        <v>0</v>
      </c>
      <c r="P169" t="s">
        <v>285</v>
      </c>
      <c r="Q169">
        <v>17061</v>
      </c>
      <c r="R169" s="10">
        <f>Table1[[#This Row],[سعر المتر علينا]]*Table1[[#This Row],[Volume (m³)]]</f>
        <v>573.2496000000001</v>
      </c>
    </row>
    <row r="170" spans="1:18" x14ac:dyDescent="0.3">
      <c r="A170" t="s">
        <v>141</v>
      </c>
      <c r="B170" s="3">
        <v>46225</v>
      </c>
      <c r="C170" t="s">
        <v>223</v>
      </c>
      <c r="D170" t="str">
        <f>IF(Table1[[#This Row],[Customer Name]]="", "",_xlfn.XLOOKUP(C170,Table7[Customer Name],Table7[Customer ID]," "))</f>
        <v>C-003</v>
      </c>
      <c r="E170" t="s">
        <v>278</v>
      </c>
      <c r="F170" t="s">
        <v>282</v>
      </c>
      <c r="G170">
        <v>10</v>
      </c>
      <c r="H170">
        <v>2</v>
      </c>
      <c r="I170">
        <v>17000</v>
      </c>
      <c r="J170">
        <v>510</v>
      </c>
      <c r="K170">
        <v>1</v>
      </c>
      <c r="L170">
        <f>IF(OR(Table1[[#This Row],[Quantity]]="",Table1[[#This Row],[Length (cm)]]=""),"",(Table1[[#This Row],[Width (cm)]]/100)*(Table1[[#This Row],[Thickness (cm)]]/100)*(Table1[[#This Row],[Length (cm)]]/100)*Table1[[#This Row],[Quantity]])</f>
        <v>1.0199999999999999E-2</v>
      </c>
      <c r="M170">
        <f>IF(Table1[[#This Row],[Volume (m³)]]="","",Table1[[#This Row],[Volume (m³)]]*Table1[[#This Row],[Price / m³]])</f>
        <v>173.39999999999998</v>
      </c>
      <c r="N170">
        <v>180</v>
      </c>
      <c r="O170">
        <v>0</v>
      </c>
      <c r="P170" t="s">
        <v>285</v>
      </c>
      <c r="Q170">
        <v>17061</v>
      </c>
      <c r="R170" s="10">
        <f>Table1[[#This Row],[سعر المتر علينا]]*Table1[[#This Row],[Volume (m³)]]</f>
        <v>174.02219999999997</v>
      </c>
    </row>
    <row r="171" spans="1:18" x14ac:dyDescent="0.3">
      <c r="A171" t="s">
        <v>142</v>
      </c>
      <c r="B171" s="3">
        <v>46226</v>
      </c>
      <c r="C171" t="s">
        <v>270</v>
      </c>
      <c r="D171" t="str">
        <f>IF(Table1[[#This Row],[Customer Name]]="", "",_xlfn.XLOOKUP(C171,Table7[Customer Name],Table7[Customer ID]," "))</f>
        <v>C-011</v>
      </c>
      <c r="E171" t="s">
        <v>278</v>
      </c>
      <c r="F171" t="s">
        <v>282</v>
      </c>
      <c r="G171">
        <v>10</v>
      </c>
      <c r="H171">
        <v>2.5</v>
      </c>
      <c r="I171">
        <v>21000</v>
      </c>
      <c r="J171">
        <v>450</v>
      </c>
      <c r="K171">
        <v>5</v>
      </c>
      <c r="L171">
        <f>IF(OR(Table1[[#This Row],[Quantity]]="",Table1[[#This Row],[Length (cm)]]=""),"",(Table1[[#This Row],[Width (cm)]]/100)*(Table1[[#This Row],[Thickness (cm)]]/100)*(Table1[[#This Row],[Length (cm)]]/100)*Table1[[#This Row],[Quantity]])</f>
        <v>5.6250000000000015E-2</v>
      </c>
      <c r="M171">
        <f>IF(Table1[[#This Row],[Volume (m³)]]="","",Table1[[#This Row],[Volume (m³)]]*Table1[[#This Row],[Price / m³]])</f>
        <v>1181.2500000000002</v>
      </c>
      <c r="N171">
        <v>1180</v>
      </c>
      <c r="O171">
        <v>1000</v>
      </c>
      <c r="P171" t="s">
        <v>285</v>
      </c>
      <c r="Q171">
        <v>17061</v>
      </c>
      <c r="R171" s="10">
        <f>Table1[[#This Row],[سعر المتر علينا]]*Table1[[#This Row],[Volume (m³)]]</f>
        <v>959.6812500000002</v>
      </c>
    </row>
    <row r="172" spans="1:18" x14ac:dyDescent="0.3">
      <c r="A172" t="s">
        <v>143</v>
      </c>
      <c r="B172" s="3">
        <v>46227</v>
      </c>
      <c r="C172" t="s">
        <v>226</v>
      </c>
      <c r="D172" t="str">
        <f>IF(Table1[[#This Row],[Customer Name]]="", "",_xlfn.XLOOKUP(C172,Table7[Customer Name],Table7[Customer ID]," "))</f>
        <v>C-012</v>
      </c>
      <c r="E172" t="s">
        <v>278</v>
      </c>
      <c r="F172" t="s">
        <v>283</v>
      </c>
      <c r="G172">
        <v>10</v>
      </c>
      <c r="H172">
        <v>2.5</v>
      </c>
      <c r="I172">
        <v>19500</v>
      </c>
      <c r="J172">
        <v>120</v>
      </c>
      <c r="K172">
        <v>20</v>
      </c>
      <c r="L172">
        <f>IF(OR(Table1[[#This Row],[Quantity]]="",Table1[[#This Row],[Length (cm)]]=""),"",(Table1[[#This Row],[Width (cm)]]/100)*(Table1[[#This Row],[Thickness (cm)]]/100)*(Table1[[#This Row],[Length (cm)]]/100)*Table1[[#This Row],[Quantity]])</f>
        <v>6.0000000000000012E-2</v>
      </c>
      <c r="M172">
        <f>IF(Table1[[#This Row],[Volume (m³)]]="","",Table1[[#This Row],[Volume (m³)]]*Table1[[#This Row],[Price / m³]])</f>
        <v>1170.0000000000002</v>
      </c>
      <c r="N172">
        <v>1175</v>
      </c>
      <c r="O172">
        <v>1175</v>
      </c>
      <c r="P172" t="s">
        <v>288</v>
      </c>
      <c r="Q172">
        <v>17061</v>
      </c>
      <c r="R172" s="10">
        <f>Table1[[#This Row],[سعر المتر علينا]]*Table1[[#This Row],[Volume (m³)]]</f>
        <v>1023.6600000000002</v>
      </c>
    </row>
    <row r="173" spans="1:18" x14ac:dyDescent="0.3">
      <c r="A173" t="s">
        <v>143</v>
      </c>
      <c r="B173" s="3">
        <v>46227</v>
      </c>
      <c r="C173" t="s">
        <v>226</v>
      </c>
      <c r="D173" t="str">
        <f>IF(Table1[[#This Row],[Customer Name]]="", "",_xlfn.XLOOKUP(C173,Table7[Customer Name],Table7[Customer ID]," "))</f>
        <v>C-012</v>
      </c>
      <c r="E173" t="s">
        <v>278</v>
      </c>
      <c r="F173" t="s">
        <v>283</v>
      </c>
      <c r="G173">
        <v>10</v>
      </c>
      <c r="H173">
        <v>2.5</v>
      </c>
      <c r="I173">
        <v>19500</v>
      </c>
      <c r="J173">
        <v>120</v>
      </c>
      <c r="K173">
        <v>16</v>
      </c>
      <c r="L173">
        <f>IF(OR(Table1[[#This Row],[Quantity]]="",Table1[[#This Row],[Length (cm)]]=""),"",(Table1[[#This Row],[Width (cm)]]/100)*(Table1[[#This Row],[Thickness (cm)]]/100)*(Table1[[#This Row],[Length (cm)]]/100)*Table1[[#This Row],[Quantity]])</f>
        <v>4.8000000000000008E-2</v>
      </c>
      <c r="M173">
        <f>IF(Table1[[#This Row],[Volume (m³)]]="","",Table1[[#This Row],[Volume (m³)]]*Table1[[#This Row],[Price / m³]])</f>
        <v>936.00000000000011</v>
      </c>
      <c r="N173">
        <v>1175</v>
      </c>
      <c r="O173">
        <v>1175</v>
      </c>
      <c r="P173" t="s">
        <v>288</v>
      </c>
      <c r="Q173">
        <v>17061</v>
      </c>
      <c r="R173" s="10">
        <f>Table1[[#This Row],[سعر المتر علينا]]*Table1[[#This Row],[Volume (m³)]]</f>
        <v>818.92800000000011</v>
      </c>
    </row>
    <row r="174" spans="1:18" x14ac:dyDescent="0.3">
      <c r="A174" t="s">
        <v>150</v>
      </c>
      <c r="B174" s="3">
        <v>46228</v>
      </c>
      <c r="C174" t="s">
        <v>254</v>
      </c>
      <c r="D174" t="str">
        <f>IF(Table1[[#This Row],[Customer Name]]="", "",_xlfn.XLOOKUP(C174,Table7[Customer Name],Table7[Customer ID]," "))</f>
        <v>C-045</v>
      </c>
      <c r="E174" t="s">
        <v>278</v>
      </c>
      <c r="F174" t="s">
        <v>282</v>
      </c>
      <c r="G174">
        <v>10</v>
      </c>
      <c r="H174">
        <v>2.5</v>
      </c>
      <c r="I174">
        <v>20800</v>
      </c>
      <c r="J174">
        <v>540</v>
      </c>
      <c r="K174">
        <v>37</v>
      </c>
      <c r="L174">
        <f>IF(OR(Table1[[#This Row],[Quantity]]="",Table1[[#This Row],[Length (cm)]]=""),"",(Table1[[#This Row],[Width (cm)]]/100)*(Table1[[#This Row],[Thickness (cm)]]/100)*(Table1[[#This Row],[Length (cm)]]/100)*Table1[[#This Row],[Quantity]])</f>
        <v>0.49950000000000011</v>
      </c>
      <c r="M174">
        <f>IF(Table1[[#This Row],[Volume (m³)]]="","",Table1[[#This Row],[Volume (m³)]]*Table1[[#This Row],[Price / m³]])</f>
        <v>10389.600000000002</v>
      </c>
      <c r="N174">
        <v>10400</v>
      </c>
      <c r="O174">
        <v>10400</v>
      </c>
      <c r="P174" t="s">
        <v>288</v>
      </c>
      <c r="Q174">
        <v>17061</v>
      </c>
      <c r="R174" s="10">
        <f>Table1[[#This Row],[سعر المتر علينا]]*Table1[[#This Row],[Volume (m³)]]</f>
        <v>8521.9695000000011</v>
      </c>
    </row>
    <row r="175" spans="1:18" x14ac:dyDescent="0.3">
      <c r="A175" t="s">
        <v>151</v>
      </c>
      <c r="B175" s="3">
        <v>46228</v>
      </c>
      <c r="C175" t="s">
        <v>267</v>
      </c>
      <c r="D175" t="str">
        <f>IF(Table1[[#This Row],[Customer Name]]="", "",_xlfn.XLOOKUP(C175,Table7[Customer Name],Table7[Customer ID]," "))</f>
        <v>C-006</v>
      </c>
      <c r="E175" t="s">
        <v>280</v>
      </c>
      <c r="F175" t="s">
        <v>284</v>
      </c>
      <c r="G175">
        <v>7.5</v>
      </c>
      <c r="H175">
        <v>7.5</v>
      </c>
      <c r="I175">
        <v>22500</v>
      </c>
      <c r="J175">
        <v>300</v>
      </c>
      <c r="K175">
        <v>30</v>
      </c>
      <c r="L175">
        <f>IF(OR(Table1[[#This Row],[Quantity]]="",Table1[[#This Row],[Length (cm)]]=""),"",(Table1[[#This Row],[Width (cm)]]/100)*(Table1[[#This Row],[Thickness (cm)]]/100)*(Table1[[#This Row],[Length (cm)]]/100)*Table1[[#This Row],[Quantity]])</f>
        <v>0.50625000000000009</v>
      </c>
      <c r="M175">
        <f>IF(Table1[[#This Row],[Volume (m³)]]="","",Table1[[#This Row],[Volume (m³)]]*Table1[[#This Row],[Price / m³]])</f>
        <v>11390.625000000002</v>
      </c>
      <c r="N175">
        <v>11400</v>
      </c>
      <c r="O175">
        <v>10000</v>
      </c>
      <c r="P175" t="s">
        <v>285</v>
      </c>
      <c r="Q175">
        <v>17061</v>
      </c>
      <c r="R175" s="10">
        <f>Table1[[#This Row],[سعر المتر علينا]]*Table1[[#This Row],[Volume (m³)]]</f>
        <v>8637.1312500000022</v>
      </c>
    </row>
    <row r="176" spans="1:18" x14ac:dyDescent="0.3">
      <c r="A176" t="s">
        <v>157</v>
      </c>
      <c r="B176" s="3">
        <v>46228</v>
      </c>
      <c r="C176" t="s">
        <v>259</v>
      </c>
      <c r="D176" t="str">
        <f>IF(Table1[[#This Row],[Customer Name]]="", "",_xlfn.XLOOKUP(C176,Table7[Customer Name],Table7[Customer ID]," "))</f>
        <v>C-050</v>
      </c>
      <c r="E176" t="s">
        <v>278</v>
      </c>
      <c r="F176" t="s">
        <v>283</v>
      </c>
      <c r="G176">
        <v>10</v>
      </c>
      <c r="H176">
        <v>2.5</v>
      </c>
      <c r="I176">
        <v>21000</v>
      </c>
      <c r="J176">
        <v>150</v>
      </c>
      <c r="K176">
        <v>3</v>
      </c>
      <c r="L176">
        <f>IF(OR(Table1[[#This Row],[Quantity]]="",Table1[[#This Row],[Length (cm)]]=""),"",(Table1[[#This Row],[Width (cm)]]/100)*(Table1[[#This Row],[Thickness (cm)]]/100)*(Table1[[#This Row],[Length (cm)]]/100)*Table1[[#This Row],[Quantity]])</f>
        <v>1.1250000000000003E-2</v>
      </c>
      <c r="M176">
        <f>IF(Table1[[#This Row],[Volume (m³)]]="","",Table1[[#This Row],[Volume (m³)]]*Table1[[#This Row],[Price / m³]])</f>
        <v>236.25000000000006</v>
      </c>
      <c r="N176">
        <v>230</v>
      </c>
      <c r="O176">
        <v>230</v>
      </c>
      <c r="P176" t="s">
        <v>288</v>
      </c>
      <c r="Q176">
        <v>17061</v>
      </c>
      <c r="R176" s="10">
        <f>Table1[[#This Row],[سعر المتر علينا]]*Table1[[#This Row],[Volume (m³)]]</f>
        <v>191.93625000000006</v>
      </c>
    </row>
    <row r="177" spans="1:18" x14ac:dyDescent="0.3">
      <c r="A177" t="s">
        <v>158</v>
      </c>
      <c r="B177" s="3">
        <v>46229</v>
      </c>
      <c r="C177" t="s">
        <v>272</v>
      </c>
      <c r="D177" t="str">
        <f>IF(Table1[[#This Row],[Customer Name]]="", "",_xlfn.XLOOKUP(C177,Table7[Customer Name],Table7[Customer ID]," "))</f>
        <v>C-026</v>
      </c>
      <c r="E177" t="s">
        <v>278</v>
      </c>
      <c r="F177" t="s">
        <v>282</v>
      </c>
      <c r="G177">
        <v>10</v>
      </c>
      <c r="H177">
        <v>2.5</v>
      </c>
      <c r="I177">
        <v>21000</v>
      </c>
      <c r="J177">
        <v>360</v>
      </c>
      <c r="K177">
        <v>15</v>
      </c>
      <c r="L177">
        <f>IF(OR(Table1[[#This Row],[Quantity]]="",Table1[[#This Row],[Length (cm)]]=""),"",(Table1[[#This Row],[Width (cm)]]/100)*(Table1[[#This Row],[Thickness (cm)]]/100)*(Table1[[#This Row],[Length (cm)]]/100)*Table1[[#This Row],[Quantity]])</f>
        <v>0.13500000000000004</v>
      </c>
      <c r="M177">
        <f>IF(Table1[[#This Row],[Volume (m³)]]="","",Table1[[#This Row],[Volume (m³)]]*Table1[[#This Row],[Price / m³]])</f>
        <v>2835.0000000000009</v>
      </c>
      <c r="N177">
        <v>2800</v>
      </c>
      <c r="O177">
        <v>2800</v>
      </c>
      <c r="P177" t="s">
        <v>288</v>
      </c>
      <c r="Q177">
        <v>17061</v>
      </c>
      <c r="R177" s="10">
        <f>Table1[[#This Row],[سعر المتر علينا]]*Table1[[#This Row],[Volume (m³)]]</f>
        <v>2303.2350000000006</v>
      </c>
    </row>
    <row r="178" spans="1:18" x14ac:dyDescent="0.3">
      <c r="A178" t="s">
        <v>158</v>
      </c>
      <c r="B178" s="3">
        <v>46229</v>
      </c>
      <c r="C178" t="s">
        <v>272</v>
      </c>
      <c r="D178" t="str">
        <f>IF(Table1[[#This Row],[Customer Name]]="", "",_xlfn.XLOOKUP(C178,Table7[Customer Name],Table7[Customer ID]," "))</f>
        <v>C-026</v>
      </c>
      <c r="E178" t="s">
        <v>278</v>
      </c>
      <c r="F178" t="s">
        <v>282</v>
      </c>
      <c r="G178">
        <v>10</v>
      </c>
      <c r="H178">
        <v>2.5</v>
      </c>
      <c r="I178">
        <v>21000</v>
      </c>
      <c r="J178">
        <v>390</v>
      </c>
      <c r="K178">
        <v>20</v>
      </c>
      <c r="L178">
        <f>IF(OR(Table1[[#This Row],[Quantity]]="",Table1[[#This Row],[Length (cm)]]=""),"",(Table1[[#This Row],[Width (cm)]]/100)*(Table1[[#This Row],[Thickness (cm)]]/100)*(Table1[[#This Row],[Length (cm)]]/100)*Table1[[#This Row],[Quantity]])</f>
        <v>0.19500000000000003</v>
      </c>
      <c r="M178">
        <f>IF(Table1[[#This Row],[Volume (m³)]]="","",Table1[[#This Row],[Volume (m³)]]*Table1[[#This Row],[Price / m³]])</f>
        <v>4095.0000000000009</v>
      </c>
      <c r="N178">
        <v>4100</v>
      </c>
      <c r="O178">
        <v>4100</v>
      </c>
      <c r="P178" t="s">
        <v>288</v>
      </c>
      <c r="Q178">
        <v>17061</v>
      </c>
      <c r="R178" s="10">
        <f>Table1[[#This Row],[سعر المتر علينا]]*Table1[[#This Row],[Volume (m³)]]</f>
        <v>3326.8950000000004</v>
      </c>
    </row>
    <row r="179" spans="1:18" x14ac:dyDescent="0.3">
      <c r="A179" t="s">
        <v>159</v>
      </c>
      <c r="B179" s="3">
        <v>46230</v>
      </c>
      <c r="C179" t="s">
        <v>223</v>
      </c>
      <c r="D179" t="str">
        <f>IF(Table1[[#This Row],[Customer Name]]="", "",_xlfn.XLOOKUP(C179,Table7[Customer Name],Table7[Customer ID]," "))</f>
        <v>C-003</v>
      </c>
      <c r="E179" t="s">
        <v>278</v>
      </c>
      <c r="F179" t="s">
        <v>282</v>
      </c>
      <c r="G179">
        <v>10</v>
      </c>
      <c r="H179">
        <v>2.5</v>
      </c>
      <c r="I179">
        <v>17000</v>
      </c>
      <c r="J179">
        <v>390</v>
      </c>
      <c r="K179">
        <v>12</v>
      </c>
      <c r="L179">
        <f>IF(OR(Table1[[#This Row],[Quantity]]="",Table1[[#This Row],[Length (cm)]]=""),"",(Table1[[#This Row],[Width (cm)]]/100)*(Table1[[#This Row],[Thickness (cm)]]/100)*(Table1[[#This Row],[Length (cm)]]/100)*Table1[[#This Row],[Quantity]])</f>
        <v>0.11700000000000002</v>
      </c>
      <c r="M179">
        <f>IF(Table1[[#This Row],[Volume (m³)]]="","",Table1[[#This Row],[Volume (m³)]]*Table1[[#This Row],[Price / m³]])</f>
        <v>1989.0000000000005</v>
      </c>
      <c r="N179">
        <v>2000</v>
      </c>
      <c r="O179">
        <v>2000</v>
      </c>
      <c r="P179" t="s">
        <v>285</v>
      </c>
      <c r="Q179">
        <v>17061</v>
      </c>
      <c r="R179" s="10">
        <f>Table1[[#This Row],[سعر المتر علينا]]*Table1[[#This Row],[Volume (m³)]]</f>
        <v>1996.1370000000004</v>
      </c>
    </row>
    <row r="180" spans="1:18" x14ac:dyDescent="0.3">
      <c r="A180" t="s">
        <v>159</v>
      </c>
      <c r="B180" s="3">
        <v>46230</v>
      </c>
      <c r="C180" t="s">
        <v>223</v>
      </c>
      <c r="D180" t="str">
        <f>IF(Table1[[#This Row],[Customer Name]]="", "",_xlfn.XLOOKUP(C180,Table7[Customer Name],Table7[Customer ID]," "))</f>
        <v>C-003</v>
      </c>
      <c r="E180" t="s">
        <v>278</v>
      </c>
      <c r="F180" t="s">
        <v>282</v>
      </c>
      <c r="G180">
        <v>10</v>
      </c>
      <c r="H180">
        <v>2.5</v>
      </c>
      <c r="I180">
        <v>17000</v>
      </c>
      <c r="J180">
        <v>360</v>
      </c>
      <c r="K180">
        <v>66</v>
      </c>
      <c r="L180">
        <f>IF(OR(Table1[[#This Row],[Quantity]]="",Table1[[#This Row],[Length (cm)]]=""),"",(Table1[[#This Row],[Width (cm)]]/100)*(Table1[[#This Row],[Thickness (cm)]]/100)*(Table1[[#This Row],[Length (cm)]]/100)*Table1[[#This Row],[Quantity]])</f>
        <v>0.59400000000000019</v>
      </c>
      <c r="M180">
        <f>IF(Table1[[#This Row],[Volume (m³)]]="","",Table1[[#This Row],[Volume (m³)]]*Table1[[#This Row],[Price / m³]])</f>
        <v>10098.000000000004</v>
      </c>
      <c r="N180">
        <v>10100</v>
      </c>
      <c r="O180">
        <v>10100</v>
      </c>
      <c r="P180" t="s">
        <v>285</v>
      </c>
      <c r="Q180">
        <v>17061</v>
      </c>
      <c r="R180" s="10">
        <f>Table1[[#This Row],[سعر المتر علينا]]*Table1[[#This Row],[Volume (m³)]]</f>
        <v>10134.234000000004</v>
      </c>
    </row>
    <row r="181" spans="1:18" x14ac:dyDescent="0.3">
      <c r="A181" t="s">
        <v>159</v>
      </c>
      <c r="B181" s="3">
        <v>46230</v>
      </c>
      <c r="C181" t="s">
        <v>223</v>
      </c>
      <c r="D181" t="str">
        <f>IF(Table1[[#This Row],[Customer Name]]="", "",_xlfn.XLOOKUP(C181,Table7[Customer Name],Table7[Customer ID]," "))</f>
        <v>C-003</v>
      </c>
      <c r="E181" t="s">
        <v>278</v>
      </c>
      <c r="F181" t="s">
        <v>282</v>
      </c>
      <c r="G181">
        <v>10</v>
      </c>
      <c r="H181">
        <v>2.5</v>
      </c>
      <c r="I181">
        <v>17000</v>
      </c>
      <c r="J181">
        <v>330</v>
      </c>
      <c r="K181">
        <v>58</v>
      </c>
      <c r="L181">
        <f>IF(OR(Table1[[#This Row],[Quantity]]="",Table1[[#This Row],[Length (cm)]]=""),"",(Table1[[#This Row],[Width (cm)]]/100)*(Table1[[#This Row],[Thickness (cm)]]/100)*(Table1[[#This Row],[Length (cm)]]/100)*Table1[[#This Row],[Quantity]])</f>
        <v>0.47850000000000004</v>
      </c>
      <c r="M181">
        <f>IF(Table1[[#This Row],[Volume (m³)]]="","",Table1[[#This Row],[Volume (m³)]]*Table1[[#This Row],[Price / m³]])</f>
        <v>8134.5000000000009</v>
      </c>
      <c r="N181">
        <v>8100</v>
      </c>
      <c r="O181">
        <v>8100</v>
      </c>
      <c r="P181" t="s">
        <v>285</v>
      </c>
      <c r="Q181">
        <v>17061</v>
      </c>
      <c r="R181" s="10">
        <f>Table1[[#This Row],[سعر المتر علينا]]*Table1[[#This Row],[Volume (m³)]]</f>
        <v>8163.6885000000002</v>
      </c>
    </row>
    <row r="182" spans="1:18" x14ac:dyDescent="0.3">
      <c r="A182" t="s">
        <v>159</v>
      </c>
      <c r="B182" s="3">
        <v>46230</v>
      </c>
      <c r="C182" t="s">
        <v>223</v>
      </c>
      <c r="D182" t="str">
        <f>IF(Table1[[#This Row],[Customer Name]]="", "",_xlfn.XLOOKUP(C182,Table7[Customer Name],Table7[Customer ID]," "))</f>
        <v>C-003</v>
      </c>
      <c r="E182" t="s">
        <v>278</v>
      </c>
      <c r="F182" t="s">
        <v>282</v>
      </c>
      <c r="G182">
        <v>10</v>
      </c>
      <c r="H182">
        <v>2.5</v>
      </c>
      <c r="I182">
        <v>17000</v>
      </c>
      <c r="J182">
        <v>300</v>
      </c>
      <c r="K182">
        <v>57</v>
      </c>
      <c r="L182">
        <f>IF(OR(Table1[[#This Row],[Quantity]]="",Table1[[#This Row],[Length (cm)]]=""),"",(Table1[[#This Row],[Width (cm)]]/100)*(Table1[[#This Row],[Thickness (cm)]]/100)*(Table1[[#This Row],[Length (cm)]]/100)*Table1[[#This Row],[Quantity]])</f>
        <v>0.4275000000000001</v>
      </c>
      <c r="M182">
        <f>IF(Table1[[#This Row],[Volume (m³)]]="","",Table1[[#This Row],[Volume (m³)]]*Table1[[#This Row],[Price / m³]])</f>
        <v>7267.5000000000018</v>
      </c>
      <c r="N182">
        <v>7300</v>
      </c>
      <c r="O182">
        <v>7300</v>
      </c>
      <c r="P182" t="s">
        <v>285</v>
      </c>
      <c r="Q182">
        <v>17061</v>
      </c>
      <c r="R182" s="10">
        <f>Table1[[#This Row],[سعر المتر علينا]]*Table1[[#This Row],[Volume (m³)]]</f>
        <v>7293.5775000000021</v>
      </c>
    </row>
    <row r="183" spans="1:18" x14ac:dyDescent="0.3">
      <c r="A183" t="s">
        <v>159</v>
      </c>
      <c r="B183" s="3">
        <v>46230</v>
      </c>
      <c r="C183" t="s">
        <v>223</v>
      </c>
      <c r="D183" t="str">
        <f>IF(Table1[[#This Row],[Customer Name]]="", "",_xlfn.XLOOKUP(C183,Table7[Customer Name],Table7[Customer ID]," "))</f>
        <v>C-003</v>
      </c>
      <c r="E183" t="s">
        <v>278</v>
      </c>
      <c r="F183" t="s">
        <v>282</v>
      </c>
      <c r="G183">
        <v>10</v>
      </c>
      <c r="H183">
        <v>2.5</v>
      </c>
      <c r="I183">
        <v>17000</v>
      </c>
      <c r="J183">
        <v>270</v>
      </c>
      <c r="K183">
        <v>107</v>
      </c>
      <c r="L183">
        <f>IF(OR(Table1[[#This Row],[Quantity]]="",Table1[[#This Row],[Length (cm)]]=""),"",(Table1[[#This Row],[Width (cm)]]/100)*(Table1[[#This Row],[Thickness (cm)]]/100)*(Table1[[#This Row],[Length (cm)]]/100)*Table1[[#This Row],[Quantity]])</f>
        <v>0.72225000000000017</v>
      </c>
      <c r="M183">
        <f>IF(Table1[[#This Row],[Volume (m³)]]="","",Table1[[#This Row],[Volume (m³)]]*Table1[[#This Row],[Price / m³]])</f>
        <v>12278.250000000004</v>
      </c>
      <c r="N183">
        <v>12300</v>
      </c>
      <c r="O183">
        <v>7300</v>
      </c>
      <c r="P183" t="s">
        <v>285</v>
      </c>
      <c r="Q183">
        <v>17061</v>
      </c>
      <c r="R183" s="10">
        <f>Table1[[#This Row],[سعر المتر علينا]]*Table1[[#This Row],[Volume (m³)]]</f>
        <v>12322.307250000003</v>
      </c>
    </row>
    <row r="184" spans="1:18" x14ac:dyDescent="0.3">
      <c r="A184" t="s">
        <v>159</v>
      </c>
      <c r="B184" s="3">
        <v>46230</v>
      </c>
      <c r="C184" t="s">
        <v>223</v>
      </c>
      <c r="D184" t="str">
        <f>IF(Table1[[#This Row],[Customer Name]]="", "",_xlfn.XLOOKUP(C184,Table7[Customer Name],Table7[Customer ID]," "))</f>
        <v>C-003</v>
      </c>
      <c r="E184" t="s">
        <v>278</v>
      </c>
      <c r="F184" t="s">
        <v>283</v>
      </c>
      <c r="G184">
        <v>10</v>
      </c>
      <c r="H184">
        <v>2.5</v>
      </c>
      <c r="I184">
        <v>17000</v>
      </c>
      <c r="J184">
        <v>150</v>
      </c>
      <c r="K184">
        <v>3</v>
      </c>
      <c r="L184">
        <f>IF(OR(Table1[[#This Row],[Quantity]]="",Table1[[#This Row],[Length (cm)]]=""),"",(Table1[[#This Row],[Width (cm)]]/100)*(Table1[[#This Row],[Thickness (cm)]]/100)*(Table1[[#This Row],[Length (cm)]]/100)*Table1[[#This Row],[Quantity]])</f>
        <v>1.1250000000000003E-2</v>
      </c>
      <c r="M184">
        <f>IF(Table1[[#This Row],[Volume (m³)]]="","",Table1[[#This Row],[Volume (m³)]]*Table1[[#This Row],[Price / m³]])</f>
        <v>191.25000000000006</v>
      </c>
      <c r="N184">
        <v>200</v>
      </c>
      <c r="O184">
        <v>200</v>
      </c>
      <c r="P184" t="s">
        <v>285</v>
      </c>
      <c r="Q184">
        <v>17061</v>
      </c>
      <c r="R184" s="10">
        <f>Table1[[#This Row],[سعر المتر علينا]]*Table1[[#This Row],[Volume (m³)]]</f>
        <v>191.93625000000006</v>
      </c>
    </row>
    <row r="185" spans="1:18" x14ac:dyDescent="0.3">
      <c r="A185" t="s">
        <v>160</v>
      </c>
      <c r="B185" s="3">
        <v>46230</v>
      </c>
      <c r="C185" t="s">
        <v>264</v>
      </c>
      <c r="D185" t="str">
        <f>IF(Table1[[#This Row],[Customer Name]]="", "",_xlfn.XLOOKUP(C185,Table7[Customer Name],Table7[Customer ID]," "))</f>
        <v>C-055</v>
      </c>
      <c r="E185" t="s">
        <v>278</v>
      </c>
      <c r="F185" t="s">
        <v>282</v>
      </c>
      <c r="G185">
        <v>10</v>
      </c>
      <c r="H185">
        <v>2.5</v>
      </c>
      <c r="I185">
        <v>20000</v>
      </c>
      <c r="J185">
        <v>390</v>
      </c>
      <c r="K185">
        <v>51</v>
      </c>
      <c r="L185">
        <f>IF(OR(Table1[[#This Row],[Quantity]]="",Table1[[#This Row],[Length (cm)]]=""),"",(Table1[[#This Row],[Width (cm)]]/100)*(Table1[[#This Row],[Thickness (cm)]]/100)*(Table1[[#This Row],[Length (cm)]]/100)*Table1[[#This Row],[Quantity]])</f>
        <v>0.49725000000000008</v>
      </c>
      <c r="M185">
        <f>IF(Table1[[#This Row],[Volume (m³)]]="","",Table1[[#This Row],[Volume (m³)]]*Table1[[#This Row],[Price / m³]])</f>
        <v>9945.0000000000018</v>
      </c>
      <c r="N185">
        <v>10000</v>
      </c>
      <c r="O185">
        <v>0</v>
      </c>
      <c r="P185" t="s">
        <v>285</v>
      </c>
      <c r="Q185">
        <v>17061</v>
      </c>
      <c r="R185" s="10">
        <f>Table1[[#This Row],[سعر المتر علينا]]*Table1[[#This Row],[Volume (m³)]]</f>
        <v>8483.5822500000013</v>
      </c>
    </row>
    <row r="186" spans="1:18" x14ac:dyDescent="0.3">
      <c r="A186" t="s">
        <v>161</v>
      </c>
      <c r="B186" s="3">
        <v>46232</v>
      </c>
      <c r="C186" t="s">
        <v>223</v>
      </c>
      <c r="D186" t="str">
        <f>IF(Table1[[#This Row],[Customer Name]]="", "",_xlfn.XLOOKUP(C186,Table7[Customer Name],Table7[Customer ID]," "))</f>
        <v>C-003</v>
      </c>
      <c r="E186" t="s">
        <v>278</v>
      </c>
      <c r="F186" t="s">
        <v>282</v>
      </c>
      <c r="G186">
        <v>10</v>
      </c>
      <c r="H186">
        <v>2.5</v>
      </c>
      <c r="I186">
        <v>17000</v>
      </c>
      <c r="J186">
        <v>390</v>
      </c>
      <c r="K186">
        <v>40</v>
      </c>
      <c r="L186">
        <f>IF(OR(Table1[[#This Row],[Quantity]]="",Table1[[#This Row],[Length (cm)]]=""),"",(Table1[[#This Row],[Width (cm)]]/100)*(Table1[[#This Row],[Thickness (cm)]]/100)*(Table1[[#This Row],[Length (cm)]]/100)*Table1[[#This Row],[Quantity]])</f>
        <v>0.39000000000000007</v>
      </c>
      <c r="M186">
        <f>IF(Table1[[#This Row],[Volume (m³)]]="","",Table1[[#This Row],[Volume (m³)]]*Table1[[#This Row],[Price / m³]])</f>
        <v>6630.0000000000009</v>
      </c>
      <c r="N186">
        <v>6630</v>
      </c>
      <c r="O186">
        <v>0</v>
      </c>
      <c r="P186" t="s">
        <v>285</v>
      </c>
      <c r="Q186">
        <v>17061</v>
      </c>
      <c r="R186" s="10">
        <f>Table1[[#This Row],[سعر المتر علينا]]*Table1[[#This Row],[Volume (m³)]]</f>
        <v>6653.7900000000009</v>
      </c>
    </row>
    <row r="187" spans="1:18" x14ac:dyDescent="0.3">
      <c r="A187" t="s">
        <v>161</v>
      </c>
      <c r="B187" s="3">
        <v>46232</v>
      </c>
      <c r="C187" t="s">
        <v>223</v>
      </c>
      <c r="D187" t="str">
        <f>IF(Table1[[#This Row],[Customer Name]]="", "",_xlfn.XLOOKUP(C187,Table7[Customer Name],Table7[Customer ID]," "))</f>
        <v>C-003</v>
      </c>
      <c r="E187" t="s">
        <v>278</v>
      </c>
      <c r="F187" t="s">
        <v>282</v>
      </c>
      <c r="G187">
        <v>10</v>
      </c>
      <c r="H187">
        <v>2.5</v>
      </c>
      <c r="I187">
        <v>17000</v>
      </c>
      <c r="J187">
        <v>420</v>
      </c>
      <c r="K187">
        <v>40</v>
      </c>
      <c r="L187">
        <f>IF(OR(Table1[[#This Row],[Quantity]]="",Table1[[#This Row],[Length (cm)]]=""),"",(Table1[[#This Row],[Width (cm)]]/100)*(Table1[[#This Row],[Thickness (cm)]]/100)*(Table1[[#This Row],[Length (cm)]]/100)*Table1[[#This Row],[Quantity]])</f>
        <v>0.4200000000000001</v>
      </c>
      <c r="M187">
        <f>IF(Table1[[#This Row],[Volume (m³)]]="","",Table1[[#This Row],[Volume (m³)]]*Table1[[#This Row],[Price / m³]])</f>
        <v>7140.0000000000018</v>
      </c>
      <c r="N187">
        <v>7140</v>
      </c>
      <c r="O187">
        <v>0</v>
      </c>
      <c r="P187" t="s">
        <v>285</v>
      </c>
      <c r="Q187">
        <v>17061</v>
      </c>
      <c r="R187" s="10">
        <f>Table1[[#This Row],[سعر المتر علينا]]*Table1[[#This Row],[Volume (m³)]]</f>
        <v>7165.6200000000017</v>
      </c>
    </row>
    <row r="188" spans="1:18" x14ac:dyDescent="0.3">
      <c r="A188" t="s">
        <v>161</v>
      </c>
      <c r="B188" s="3">
        <v>46232</v>
      </c>
      <c r="C188" t="s">
        <v>223</v>
      </c>
      <c r="D188" t="str">
        <f>IF(Table1[[#This Row],[Customer Name]]="", "",_xlfn.XLOOKUP(C188,Table7[Customer Name],Table7[Customer ID]," "))</f>
        <v>C-003</v>
      </c>
      <c r="E188" t="s">
        <v>278</v>
      </c>
      <c r="F188" t="s">
        <v>282</v>
      </c>
      <c r="G188">
        <v>10</v>
      </c>
      <c r="H188">
        <v>2.5</v>
      </c>
      <c r="I188">
        <v>17000</v>
      </c>
      <c r="J188">
        <v>360</v>
      </c>
      <c r="K188">
        <v>40</v>
      </c>
      <c r="L188">
        <f>IF(OR(Table1[[#This Row],[Quantity]]="",Table1[[#This Row],[Length (cm)]]=""),"",(Table1[[#This Row],[Width (cm)]]/100)*(Table1[[#This Row],[Thickness (cm)]]/100)*(Table1[[#This Row],[Length (cm)]]/100)*Table1[[#This Row],[Quantity]])</f>
        <v>0.3600000000000001</v>
      </c>
      <c r="M188">
        <f>IF(Table1[[#This Row],[Volume (m³)]]="","",Table1[[#This Row],[Volume (m³)]]*Table1[[#This Row],[Price / m³]])</f>
        <v>6120.0000000000018</v>
      </c>
      <c r="N188">
        <v>6120</v>
      </c>
      <c r="O188">
        <v>0</v>
      </c>
      <c r="P188" t="s">
        <v>285</v>
      </c>
      <c r="Q188">
        <v>17061</v>
      </c>
      <c r="R188" s="10">
        <f>Table1[[#This Row],[سعر المتر علينا]]*Table1[[#This Row],[Volume (m³)]]</f>
        <v>6141.9600000000019</v>
      </c>
    </row>
    <row r="189" spans="1:18" x14ac:dyDescent="0.3">
      <c r="A189" t="s">
        <v>162</v>
      </c>
      <c r="B189" s="3">
        <v>46232</v>
      </c>
      <c r="C189" t="s">
        <v>275</v>
      </c>
      <c r="D189" t="str">
        <f>IF(Table1[[#This Row],[Customer Name]]="", "",_xlfn.XLOOKUP(C189,Table7[Customer Name],Table7[Customer ID]," "))</f>
        <v>C-056</v>
      </c>
      <c r="E189" t="s">
        <v>278</v>
      </c>
      <c r="F189" t="s">
        <v>283</v>
      </c>
      <c r="G189">
        <v>10</v>
      </c>
      <c r="H189">
        <v>2.5</v>
      </c>
      <c r="I189">
        <v>19500</v>
      </c>
      <c r="J189">
        <v>120</v>
      </c>
      <c r="K189">
        <v>20</v>
      </c>
      <c r="L189">
        <f>IF(OR(Table1[[#This Row],[Quantity]]="",Table1[[#This Row],[Length (cm)]]=""),"",(Table1[[#This Row],[Width (cm)]]/100)*(Table1[[#This Row],[Thickness (cm)]]/100)*(Table1[[#This Row],[Length (cm)]]/100)*Table1[[#This Row],[Quantity]])</f>
        <v>6.0000000000000012E-2</v>
      </c>
      <c r="M189">
        <f>IF(Table1[[#This Row],[Volume (m³)]]="","",Table1[[#This Row],[Volume (m³)]]*Table1[[#This Row],[Price / m³]])</f>
        <v>1170.0000000000002</v>
      </c>
      <c r="N189">
        <v>1150</v>
      </c>
      <c r="O189">
        <v>1150</v>
      </c>
      <c r="P189" t="s">
        <v>288</v>
      </c>
      <c r="Q189">
        <v>17061</v>
      </c>
      <c r="R189" s="10">
        <f>Table1[[#This Row],[سعر المتر علينا]]*Table1[[#This Row],[Volume (m³)]]</f>
        <v>1023.6600000000002</v>
      </c>
    </row>
    <row r="190" spans="1:18" x14ac:dyDescent="0.3">
      <c r="A190" t="s">
        <v>165</v>
      </c>
      <c r="B190" s="3">
        <v>46233</v>
      </c>
      <c r="C190" t="s">
        <v>223</v>
      </c>
      <c r="D190" t="str">
        <f>IF(Table1[[#This Row],[Customer Name]]="", "",_xlfn.XLOOKUP(C190,Table7[Customer Name],Table7[Customer ID]," "))</f>
        <v>C-003</v>
      </c>
      <c r="E190" t="s">
        <v>278</v>
      </c>
      <c r="F190" t="s">
        <v>282</v>
      </c>
      <c r="G190">
        <v>10</v>
      </c>
      <c r="H190">
        <v>2.5</v>
      </c>
      <c r="I190">
        <v>17000</v>
      </c>
      <c r="J190">
        <v>360</v>
      </c>
      <c r="K190">
        <v>50</v>
      </c>
      <c r="L190">
        <f>IF(OR(Table1[[#This Row],[Quantity]]="",Table1[[#This Row],[Length (cm)]]=""),"",(Table1[[#This Row],[Width (cm)]]/100)*(Table1[[#This Row],[Thickness (cm)]]/100)*(Table1[[#This Row],[Length (cm)]]/100)*Table1[[#This Row],[Quantity]])</f>
        <v>0.45000000000000012</v>
      </c>
      <c r="M190">
        <f>IF(Table1[[#This Row],[Volume (m³)]]="","",Table1[[#This Row],[Volume (m³)]]*Table1[[#This Row],[Price / m³]])</f>
        <v>7650.0000000000018</v>
      </c>
      <c r="N190">
        <v>7650</v>
      </c>
      <c r="O190">
        <v>0</v>
      </c>
      <c r="P190" t="s">
        <v>285</v>
      </c>
      <c r="Q190">
        <v>17061</v>
      </c>
      <c r="R190" s="10">
        <f>Table1[[#This Row],[سعر المتر علينا]]*Table1[[#This Row],[Volume (m³)]]</f>
        <v>7677.4500000000016</v>
      </c>
    </row>
    <row r="191" spans="1:18" x14ac:dyDescent="0.3">
      <c r="A191" t="s">
        <v>165</v>
      </c>
      <c r="B191" s="3">
        <v>46233</v>
      </c>
      <c r="C191" t="s">
        <v>223</v>
      </c>
      <c r="D191" t="str">
        <f>IF(Table1[[#This Row],[Customer Name]]="", "",_xlfn.XLOOKUP(C191,Table7[Customer Name],Table7[Customer ID]," "))</f>
        <v>C-003</v>
      </c>
      <c r="E191" t="s">
        <v>278</v>
      </c>
      <c r="F191" t="s">
        <v>282</v>
      </c>
      <c r="G191">
        <v>10</v>
      </c>
      <c r="H191">
        <v>2.5</v>
      </c>
      <c r="I191">
        <v>17000</v>
      </c>
      <c r="J191">
        <v>330</v>
      </c>
      <c r="K191">
        <v>50</v>
      </c>
      <c r="L191">
        <f>IF(OR(Table1[[#This Row],[Quantity]]="",Table1[[#This Row],[Length (cm)]]=""),"",(Table1[[#This Row],[Width (cm)]]/100)*(Table1[[#This Row],[Thickness (cm)]]/100)*(Table1[[#This Row],[Length (cm)]]/100)*Table1[[#This Row],[Quantity]])</f>
        <v>0.41250000000000003</v>
      </c>
      <c r="M191">
        <f>IF(Table1[[#This Row],[Volume (m³)]]="","",Table1[[#This Row],[Volume (m³)]]*Table1[[#This Row],[Price / m³]])</f>
        <v>7012.5000000000009</v>
      </c>
      <c r="N191">
        <v>7000</v>
      </c>
      <c r="O191">
        <v>0</v>
      </c>
      <c r="P191" t="s">
        <v>285</v>
      </c>
      <c r="Q191">
        <v>17061</v>
      </c>
      <c r="R191" s="10">
        <f>Table1[[#This Row],[سعر المتر علينا]]*Table1[[#This Row],[Volume (m³)]]</f>
        <v>7037.6625000000004</v>
      </c>
    </row>
    <row r="192" spans="1:18" x14ac:dyDescent="0.3">
      <c r="A192" t="s">
        <v>165</v>
      </c>
      <c r="B192" s="3">
        <v>46233</v>
      </c>
      <c r="C192" t="s">
        <v>223</v>
      </c>
      <c r="D192" t="str">
        <f>IF(Table1[[#This Row],[Customer Name]]="", "",_xlfn.XLOOKUP(C192,Table7[Customer Name],Table7[Customer ID]," "))</f>
        <v>C-003</v>
      </c>
      <c r="E192" t="s">
        <v>278</v>
      </c>
      <c r="F192" t="s">
        <v>282</v>
      </c>
      <c r="G192">
        <v>10</v>
      </c>
      <c r="H192">
        <v>2.5</v>
      </c>
      <c r="I192">
        <v>17000</v>
      </c>
      <c r="J192">
        <v>300</v>
      </c>
      <c r="K192">
        <v>50</v>
      </c>
      <c r="L192">
        <f>IF(OR(Table1[[#This Row],[Quantity]]="",Table1[[#This Row],[Length (cm)]]=""),"",(Table1[[#This Row],[Width (cm)]]/100)*(Table1[[#This Row],[Thickness (cm)]]/100)*(Table1[[#This Row],[Length (cm)]]/100)*Table1[[#This Row],[Quantity]])</f>
        <v>0.37500000000000006</v>
      </c>
      <c r="M192">
        <f>IF(Table1[[#This Row],[Volume (m³)]]="","",Table1[[#This Row],[Volume (m³)]]*Table1[[#This Row],[Price / m³]])</f>
        <v>6375.0000000000009</v>
      </c>
      <c r="N192">
        <v>6380</v>
      </c>
      <c r="O192">
        <v>0</v>
      </c>
      <c r="P192" t="s">
        <v>285</v>
      </c>
      <c r="Q192">
        <v>17061</v>
      </c>
      <c r="R192" s="10">
        <f>Table1[[#This Row],[سعر المتر علينا]]*Table1[[#This Row],[Volume (m³)]]</f>
        <v>6397.8750000000009</v>
      </c>
    </row>
    <row r="193" spans="1:18" x14ac:dyDescent="0.3">
      <c r="A193" t="s">
        <v>165</v>
      </c>
      <c r="B193" s="3">
        <v>46233</v>
      </c>
      <c r="C193" t="s">
        <v>223</v>
      </c>
      <c r="D193" t="str">
        <f>IF(Table1[[#This Row],[Customer Name]]="", "",_xlfn.XLOOKUP(C193,Table7[Customer Name],Table7[Customer ID]," "))</f>
        <v>C-003</v>
      </c>
      <c r="E193" t="s">
        <v>278</v>
      </c>
      <c r="F193" t="s">
        <v>282</v>
      </c>
      <c r="G193">
        <v>10</v>
      </c>
      <c r="H193">
        <v>2.5</v>
      </c>
      <c r="I193">
        <v>17000</v>
      </c>
      <c r="J193">
        <v>270</v>
      </c>
      <c r="K193">
        <v>150</v>
      </c>
      <c r="L193">
        <f>IF(OR(Table1[[#This Row],[Quantity]]="",Table1[[#This Row],[Length (cm)]]=""),"",(Table1[[#This Row],[Width (cm)]]/100)*(Table1[[#This Row],[Thickness (cm)]]/100)*(Table1[[#This Row],[Length (cm)]]/100)*Table1[[#This Row],[Quantity]])</f>
        <v>1.0125000000000002</v>
      </c>
      <c r="M193">
        <f>IF(Table1[[#This Row],[Volume (m³)]]="","",Table1[[#This Row],[Volume (m³)]]*Table1[[#This Row],[Price / m³]])</f>
        <v>17212.500000000004</v>
      </c>
      <c r="N193">
        <v>17220</v>
      </c>
      <c r="O193">
        <v>0</v>
      </c>
      <c r="P193" t="s">
        <v>285</v>
      </c>
      <c r="Q193">
        <v>17061</v>
      </c>
      <c r="R193" s="10">
        <f>Table1[[#This Row],[سعر المتر علينا]]*Table1[[#This Row],[Volume (m³)]]</f>
        <v>17274.262500000004</v>
      </c>
    </row>
    <row r="194" spans="1:18" x14ac:dyDescent="0.3">
      <c r="A194" t="s">
        <v>166</v>
      </c>
      <c r="B194" s="3">
        <v>46233</v>
      </c>
      <c r="C194" t="s">
        <v>260</v>
      </c>
      <c r="D194" t="str">
        <f>IF(Table1[[#This Row],[Customer Name]]="", "",_xlfn.XLOOKUP(C194,Table7[Customer Name],Table7[Customer ID]," "))</f>
        <v>C-051</v>
      </c>
      <c r="E194" t="s">
        <v>278</v>
      </c>
      <c r="F194" t="s">
        <v>283</v>
      </c>
      <c r="G194">
        <v>10</v>
      </c>
      <c r="H194">
        <v>2.5</v>
      </c>
      <c r="I194">
        <v>21000</v>
      </c>
      <c r="J194">
        <v>150</v>
      </c>
      <c r="K194">
        <v>1</v>
      </c>
      <c r="L194">
        <f>IF(OR(Table1[[#This Row],[Quantity]]="",Table1[[#This Row],[Length (cm)]]=""),"",(Table1[[#This Row],[Width (cm)]]/100)*(Table1[[#This Row],[Thickness (cm)]]/100)*(Table1[[#This Row],[Length (cm)]]/100)*Table1[[#This Row],[Quantity]])</f>
        <v>3.7500000000000007E-3</v>
      </c>
      <c r="M194">
        <f>IF(Table1[[#This Row],[Volume (m³)]]="","",Table1[[#This Row],[Volume (m³)]]*Table1[[#This Row],[Price / m³]])</f>
        <v>78.750000000000014</v>
      </c>
      <c r="N194">
        <v>80</v>
      </c>
      <c r="O194">
        <v>80</v>
      </c>
      <c r="P194" t="s">
        <v>288</v>
      </c>
      <c r="Q194">
        <v>17061</v>
      </c>
      <c r="R194" s="10">
        <f>Table1[[#This Row],[سعر المتر علينا]]*Table1[[#This Row],[Volume (m³)]]</f>
        <v>63.978750000000012</v>
      </c>
    </row>
    <row r="195" spans="1:18" x14ac:dyDescent="0.3">
      <c r="A195" t="s">
        <v>167</v>
      </c>
      <c r="B195" s="3">
        <v>46233</v>
      </c>
      <c r="C195" t="s">
        <v>272</v>
      </c>
      <c r="D195" t="str">
        <f>IF(Table1[[#This Row],[Customer Name]]="", "",_xlfn.XLOOKUP(C195,Table7[Customer Name],Table7[Customer ID]," "))</f>
        <v>C-026</v>
      </c>
      <c r="E195" t="s">
        <v>278</v>
      </c>
      <c r="F195" t="s">
        <v>283</v>
      </c>
      <c r="G195">
        <v>10</v>
      </c>
      <c r="H195">
        <v>2.5</v>
      </c>
      <c r="I195">
        <v>20000</v>
      </c>
      <c r="J195">
        <v>120</v>
      </c>
      <c r="K195">
        <v>30</v>
      </c>
      <c r="L195">
        <f>IF(OR(Table1[[#This Row],[Quantity]]="",Table1[[#This Row],[Length (cm)]]=""),"",(Table1[[#This Row],[Width (cm)]]/100)*(Table1[[#This Row],[Thickness (cm)]]/100)*(Table1[[#This Row],[Length (cm)]]/100)*Table1[[#This Row],[Quantity]])</f>
        <v>9.0000000000000011E-2</v>
      </c>
      <c r="M195">
        <f>IF(Table1[[#This Row],[Volume (m³)]]="","",Table1[[#This Row],[Volume (m³)]]*Table1[[#This Row],[Price / m³]])</f>
        <v>1800.0000000000002</v>
      </c>
      <c r="N195">
        <v>1800</v>
      </c>
      <c r="O195">
        <v>0</v>
      </c>
      <c r="P195" t="s">
        <v>285</v>
      </c>
      <c r="Q195">
        <v>17061</v>
      </c>
      <c r="R195" s="10">
        <f>Table1[[#This Row],[سعر المتر علينا]]*Table1[[#This Row],[Volume (m³)]]</f>
        <v>1535.4900000000002</v>
      </c>
    </row>
    <row r="196" spans="1:18" x14ac:dyDescent="0.3">
      <c r="A196" t="s">
        <v>168</v>
      </c>
      <c r="B196" s="3">
        <v>46233</v>
      </c>
      <c r="C196" t="s">
        <v>226</v>
      </c>
      <c r="D196" t="str">
        <f>IF(Table1[[#This Row],[Customer Name]]="", "",_xlfn.XLOOKUP(C196,Table7[Customer Name],Table7[Customer ID]," "))</f>
        <v>C-012</v>
      </c>
      <c r="E196" t="s">
        <v>280</v>
      </c>
      <c r="F196" t="s">
        <v>284</v>
      </c>
      <c r="G196">
        <v>7.5</v>
      </c>
      <c r="H196">
        <v>7.5</v>
      </c>
      <c r="I196">
        <v>22000</v>
      </c>
      <c r="J196">
        <v>300</v>
      </c>
      <c r="K196">
        <v>15</v>
      </c>
      <c r="L196">
        <f>IF(OR(Table1[[#This Row],[Quantity]]="",Table1[[#This Row],[Length (cm)]]=""),"",(Table1[[#This Row],[Width (cm)]]/100)*(Table1[[#This Row],[Thickness (cm)]]/100)*(Table1[[#This Row],[Length (cm)]]/100)*Table1[[#This Row],[Quantity]])</f>
        <v>0.25312500000000004</v>
      </c>
      <c r="M196">
        <f>IF(Table1[[#This Row],[Volume (m³)]]="","",Table1[[#This Row],[Volume (m³)]]*Table1[[#This Row],[Price / m³]])</f>
        <v>5568.7500000000009</v>
      </c>
      <c r="N196">
        <v>5600</v>
      </c>
      <c r="O196">
        <v>5000</v>
      </c>
      <c r="P196" t="s">
        <v>285</v>
      </c>
      <c r="Q196">
        <v>17061</v>
      </c>
      <c r="R196" s="10">
        <f>Table1[[#This Row],[سعر المتر علينا]]*Table1[[#This Row],[Volume (m³)]]</f>
        <v>4318.5656250000011</v>
      </c>
    </row>
    <row r="197" spans="1:18" x14ac:dyDescent="0.3">
      <c r="A197" t="s">
        <v>170</v>
      </c>
      <c r="B197" s="3">
        <v>46233</v>
      </c>
      <c r="C197" t="s">
        <v>276</v>
      </c>
      <c r="D197" t="str">
        <f>IF(Table1[[#This Row],[Customer Name]]="", "",_xlfn.XLOOKUP(C197,Table7[Customer Name],Table7[Customer ID]," "))</f>
        <v>C-057</v>
      </c>
      <c r="E197" t="s">
        <v>280</v>
      </c>
      <c r="F197" t="s">
        <v>284</v>
      </c>
      <c r="G197">
        <v>9</v>
      </c>
      <c r="H197">
        <v>7</v>
      </c>
      <c r="I197">
        <v>21500</v>
      </c>
      <c r="J197">
        <v>300</v>
      </c>
      <c r="K197">
        <v>60</v>
      </c>
      <c r="L197">
        <f>IF(OR(Table1[[#This Row],[Quantity]]="",Table1[[#This Row],[Length (cm)]]=""),"",(Table1[[#This Row],[Width (cm)]]/100)*(Table1[[#This Row],[Thickness (cm)]]/100)*(Table1[[#This Row],[Length (cm)]]/100)*Table1[[#This Row],[Quantity]])</f>
        <v>1.1339999999999999</v>
      </c>
      <c r="M197">
        <f>IF(Table1[[#This Row],[Volume (m³)]]="","",Table1[[#This Row],[Volume (m³)]]*Table1[[#This Row],[Price / m³]])</f>
        <v>24380.999999999996</v>
      </c>
      <c r="N197">
        <v>24400</v>
      </c>
      <c r="O197">
        <v>24400</v>
      </c>
      <c r="P197" t="s">
        <v>288</v>
      </c>
      <c r="Q197">
        <v>17061</v>
      </c>
      <c r="R197" s="10">
        <f>Table1[[#This Row],[سعر المتر علينا]]*Table1[[#This Row],[Volume (m³)]]</f>
        <v>19347.173999999999</v>
      </c>
    </row>
    <row r="198" spans="1:18" x14ac:dyDescent="0.3">
      <c r="A198" t="s">
        <v>170</v>
      </c>
      <c r="B198" s="3">
        <v>46233</v>
      </c>
      <c r="C198" t="s">
        <v>276</v>
      </c>
      <c r="D198" t="str">
        <f>IF(Table1[[#This Row],[Customer Name]]="", "",_xlfn.XLOOKUP(C198,Table7[Customer Name],Table7[Customer ID]," "))</f>
        <v>C-057</v>
      </c>
      <c r="E198" t="s">
        <v>278</v>
      </c>
      <c r="F198" t="s">
        <v>282</v>
      </c>
      <c r="G198">
        <v>10</v>
      </c>
      <c r="H198">
        <v>2.5</v>
      </c>
      <c r="I198">
        <v>20000</v>
      </c>
      <c r="J198">
        <v>540</v>
      </c>
      <c r="K198">
        <v>150</v>
      </c>
      <c r="L198">
        <f>IF(OR(Table1[[#This Row],[Quantity]]="",Table1[[#This Row],[Length (cm)]]=""),"",(Table1[[#This Row],[Width (cm)]]/100)*(Table1[[#This Row],[Thickness (cm)]]/100)*(Table1[[#This Row],[Length (cm)]]/100)*Table1[[#This Row],[Quantity]])</f>
        <v>2.0250000000000004</v>
      </c>
      <c r="M198">
        <f>IF(Table1[[#This Row],[Volume (m³)]]="","",Table1[[#This Row],[Volume (m³)]]*Table1[[#This Row],[Price / m³]])</f>
        <v>40500.000000000007</v>
      </c>
      <c r="N198">
        <v>40500</v>
      </c>
      <c r="O198">
        <v>40500</v>
      </c>
      <c r="P198" t="s">
        <v>288</v>
      </c>
      <c r="Q198">
        <v>17061</v>
      </c>
      <c r="R198" s="10">
        <f>Table1[[#This Row],[سعر المتر علينا]]*Table1[[#This Row],[Volume (m³)]]</f>
        <v>34548.525000000009</v>
      </c>
    </row>
    <row r="199" spans="1:18" x14ac:dyDescent="0.3">
      <c r="A199" t="s">
        <v>171</v>
      </c>
      <c r="B199" s="3">
        <v>46234</v>
      </c>
      <c r="C199" t="s">
        <v>277</v>
      </c>
      <c r="D199" t="str">
        <f>IF(Table1[[#This Row],[Customer Name]]="", "",_xlfn.XLOOKUP(C199,Table7[Customer Name],Table7[Customer ID]," "))</f>
        <v>C-058</v>
      </c>
      <c r="E199" t="s">
        <v>278</v>
      </c>
      <c r="F199" t="s">
        <v>282</v>
      </c>
      <c r="G199">
        <v>10</v>
      </c>
      <c r="H199">
        <v>2.5</v>
      </c>
      <c r="I199">
        <v>20000</v>
      </c>
      <c r="J199">
        <v>390</v>
      </c>
      <c r="K199">
        <v>102</v>
      </c>
      <c r="L199">
        <f>IF(OR(Table1[[#This Row],[Quantity]]="",Table1[[#This Row],[Length (cm)]]=""),"",(Table1[[#This Row],[Width (cm)]]/100)*(Table1[[#This Row],[Thickness (cm)]]/100)*(Table1[[#This Row],[Length (cm)]]/100)*Table1[[#This Row],[Quantity]])</f>
        <v>0.99450000000000016</v>
      </c>
      <c r="M199">
        <f>IF(Table1[[#This Row],[Volume (m³)]]="","",Table1[[#This Row],[Volume (m³)]]*Table1[[#This Row],[Price / m³]])</f>
        <v>19890.000000000004</v>
      </c>
      <c r="N199">
        <v>19890</v>
      </c>
      <c r="O199">
        <v>19890</v>
      </c>
      <c r="P199" t="s">
        <v>288</v>
      </c>
      <c r="Q199">
        <v>17061</v>
      </c>
      <c r="R199" s="10">
        <f>Table1[[#This Row],[سعر المتر علينا]]*Table1[[#This Row],[Volume (m³)]]</f>
        <v>16967.164500000003</v>
      </c>
    </row>
    <row r="200" spans="1:18" x14ac:dyDescent="0.3">
      <c r="A200" t="s">
        <v>171</v>
      </c>
      <c r="B200" s="3">
        <v>46234</v>
      </c>
      <c r="C200" t="s">
        <v>277</v>
      </c>
      <c r="D200" t="str">
        <f>IF(Table1[[#This Row],[Customer Name]]="", "",_xlfn.XLOOKUP(C200,Table7[Customer Name],Table7[Customer ID]," "))</f>
        <v>C-058</v>
      </c>
      <c r="E200" t="s">
        <v>278</v>
      </c>
      <c r="F200" t="s">
        <v>282</v>
      </c>
      <c r="G200">
        <v>10</v>
      </c>
      <c r="H200">
        <v>2.5</v>
      </c>
      <c r="I200">
        <v>19500</v>
      </c>
      <c r="J200">
        <v>270</v>
      </c>
      <c r="K200">
        <v>87</v>
      </c>
      <c r="L200">
        <f>IF(OR(Table1[[#This Row],[Quantity]]="",Table1[[#This Row],[Length (cm)]]=""),"",(Table1[[#This Row],[Width (cm)]]/100)*(Table1[[#This Row],[Thickness (cm)]]/100)*(Table1[[#This Row],[Length (cm)]]/100)*Table1[[#This Row],[Quantity]])</f>
        <v>0.58725000000000016</v>
      </c>
      <c r="M200">
        <f>IF(Table1[[#This Row],[Volume (m³)]]="","",Table1[[#This Row],[Volume (m³)]]*Table1[[#This Row],[Price / m³]])</f>
        <v>11451.375000000004</v>
      </c>
      <c r="N200">
        <v>11400</v>
      </c>
      <c r="O200">
        <v>11400</v>
      </c>
      <c r="P200" t="s">
        <v>288</v>
      </c>
      <c r="Q200">
        <v>17061</v>
      </c>
      <c r="R200" s="10">
        <f>Table1[[#This Row],[سعر المتر علينا]]*Table1[[#This Row],[Volume (m³)]]</f>
        <v>10019.072250000003</v>
      </c>
    </row>
    <row r="201" spans="1:18" x14ac:dyDescent="0.3">
      <c r="A201" t="s">
        <v>171</v>
      </c>
      <c r="B201" s="3">
        <v>46234</v>
      </c>
      <c r="C201" t="s">
        <v>277</v>
      </c>
      <c r="D201" t="str">
        <f>IF(Table1[[#This Row],[Customer Name]]="", "",_xlfn.XLOOKUP(C201,Table7[Customer Name],Table7[Customer ID]," "))</f>
        <v>C-058</v>
      </c>
      <c r="E201" t="s">
        <v>278</v>
      </c>
      <c r="F201" t="s">
        <v>282</v>
      </c>
      <c r="G201">
        <v>10</v>
      </c>
      <c r="H201">
        <v>2.5</v>
      </c>
      <c r="I201">
        <v>19500</v>
      </c>
      <c r="J201">
        <v>210</v>
      </c>
      <c r="K201">
        <v>1</v>
      </c>
      <c r="L201">
        <f>IF(OR(Table1[[#This Row],[Quantity]]="",Table1[[#This Row],[Length (cm)]]=""),"",(Table1[[#This Row],[Width (cm)]]/100)*(Table1[[#This Row],[Thickness (cm)]]/100)*(Table1[[#This Row],[Length (cm)]]/100)*Table1[[#This Row],[Quantity]])</f>
        <v>5.2500000000000012E-3</v>
      </c>
      <c r="M201">
        <f>IF(Table1[[#This Row],[Volume (m³)]]="","",Table1[[#This Row],[Volume (m³)]]*Table1[[#This Row],[Price / m³]])</f>
        <v>102.37500000000003</v>
      </c>
      <c r="N201">
        <v>110</v>
      </c>
      <c r="O201">
        <v>110</v>
      </c>
      <c r="P201" t="s">
        <v>288</v>
      </c>
      <c r="Q201">
        <v>17061</v>
      </c>
      <c r="R201" s="10">
        <f>Table1[[#This Row],[سعر المتر علينا]]*Table1[[#This Row],[Volume (m³)]]</f>
        <v>89.570250000000016</v>
      </c>
    </row>
    <row r="203" spans="1:18" x14ac:dyDescent="0.3">
      <c r="B203" s="3"/>
    </row>
    <row r="204" spans="1:18" x14ac:dyDescent="0.3">
      <c r="B204" s="3"/>
    </row>
    <row r="205" spans="1:18" x14ac:dyDescent="0.3">
      <c r="B205" s="3"/>
    </row>
    <row r="206" spans="1:18" x14ac:dyDescent="0.3">
      <c r="B206" s="3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DB8C-7677-4C15-8FA7-5CE2974F0DBE}">
  <dimension ref="A1:L45"/>
  <sheetViews>
    <sheetView tabSelected="1" topLeftCell="A28" workbookViewId="0">
      <selection activeCell="N8" sqref="N8"/>
    </sheetView>
  </sheetViews>
  <sheetFormatPr defaultRowHeight="14.4" x14ac:dyDescent="0.3"/>
  <cols>
    <col min="1" max="1" width="10.44140625" customWidth="1"/>
    <col min="2" max="2" width="14.44140625" bestFit="1" customWidth="1"/>
    <col min="3" max="3" width="12.5546875" bestFit="1" customWidth="1"/>
    <col min="4" max="4" width="15.88671875" bestFit="1" customWidth="1"/>
    <col min="5" max="5" width="13" bestFit="1" customWidth="1"/>
    <col min="6" max="6" width="15.33203125" bestFit="1" customWidth="1"/>
    <col min="7" max="7" width="7.77734375" bestFit="1" customWidth="1"/>
    <col min="8" max="8" width="16.109375" bestFit="1" customWidth="1"/>
    <col min="9" max="9" width="16.44140625" bestFit="1" customWidth="1"/>
    <col min="10" max="10" width="11.77734375" bestFit="1" customWidth="1"/>
    <col min="11" max="11" width="14.5546875" bestFit="1" customWidth="1"/>
    <col min="12" max="12" width="13.5546875" bestFit="1" customWidth="1"/>
  </cols>
  <sheetData>
    <row r="1" spans="1:12" x14ac:dyDescent="0.3">
      <c r="A1" t="s">
        <v>179</v>
      </c>
      <c r="B1" t="s">
        <v>191</v>
      </c>
      <c r="C1" t="s">
        <v>181</v>
      </c>
      <c r="D1" t="s">
        <v>182</v>
      </c>
      <c r="E1" t="s">
        <v>183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185</v>
      </c>
    </row>
    <row r="2" spans="1:12" x14ac:dyDescent="0.3">
      <c r="A2" t="s">
        <v>278</v>
      </c>
      <c r="B2" t="s">
        <v>282</v>
      </c>
      <c r="C2">
        <v>10</v>
      </c>
      <c r="D2">
        <v>2.5</v>
      </c>
      <c r="E2">
        <v>210</v>
      </c>
      <c r="F2">
        <v>59</v>
      </c>
      <c r="G2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79</v>
      </c>
      <c r="H2">
        <f>SUMIFS(Table4[Quantity],Table4[Wood Type],'Inventory Movement'!A2,Table4[Product Form],'Inventory Movement'!B2,Table4[Width (cm)],'Inventory Movement'!C2,Table4[Thickness (cm)],'Inventory Movement'!D2,Table4[Length (cm)],'Inventory Movement'!E2,Table4[Movement Type],"In")</f>
        <v>10</v>
      </c>
      <c r="I2">
        <f>SUMIFS(Table4[Quantity],Table4[Wood Type],'Inventory Movement'!A2,Table4[Product Form],'Inventory Movement'!B2,Table4[Width (cm)],'Inventory Movement'!C2,Table4[Thickness (cm)],'Inventory Movement'!D2,Table4[Length (cm)],'Inventory Movement'!E2,Table4[Movement Type],"Out")</f>
        <v>0</v>
      </c>
      <c r="J2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91</v>
      </c>
      <c r="K2">
        <f>(Table2[[#This Row],[Opening Stock]]+Table2[[#This Row],[Internal Cutting]]+Table2[[#This Row],[Purchases]])-(Table2[[#This Row],[Sales]]+Table2[[#This Row],[External Cutting]])</f>
        <v>81</v>
      </c>
      <c r="L2">
        <f>(C2/100)*(D2/100)*(E2/100)*Table2[[#This Row],[Current Stock]]</f>
        <v>0.42525000000000007</v>
      </c>
    </row>
    <row r="3" spans="1:12" x14ac:dyDescent="0.3">
      <c r="A3" t="s">
        <v>278</v>
      </c>
      <c r="B3" t="s">
        <v>282</v>
      </c>
      <c r="C3">
        <v>10</v>
      </c>
      <c r="D3">
        <v>2.5</v>
      </c>
      <c r="E3">
        <v>240</v>
      </c>
      <c r="F3">
        <v>24</v>
      </c>
      <c r="G3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30</v>
      </c>
      <c r="H3">
        <f>SUMIFS(Table4[Quantity],Table4[Wood Type],'Inventory Movement'!A3,Table4[Product Form],'Inventory Movement'!B3,Table4[Width (cm)],'Inventory Movement'!C3,Table4[Thickness (cm)],'Inventory Movement'!D3,Table4[Length (cm)],'Inventory Movement'!E3,Table4[Movement Type],"In")</f>
        <v>12</v>
      </c>
      <c r="I3">
        <f>SUMIFS(Table4[Quantity],Table4[Wood Type],'Inventory Movement'!A3,Table4[Product Form],'Inventory Movement'!B3,Table4[Width (cm)],'Inventory Movement'!C3,Table4[Thickness (cm)],'Inventory Movement'!D3,Table4[Length (cm)],'Inventory Movement'!E3,Table4[Movement Type],"Out")</f>
        <v>15</v>
      </c>
      <c r="J3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313</v>
      </c>
      <c r="K3">
        <f>(Table2[[#This Row],[Opening Stock]]+Table2[[#This Row],[Internal Cutting]]+Table2[[#This Row],[Purchases]])-(Table2[[#This Row],[Sales]]+Table2[[#This Row],[External Cutting]])</f>
        <v>304</v>
      </c>
      <c r="L3">
        <f>(C3/100)*(D3/100)*(E3/100)*Table2[[#This Row],[Current Stock]]</f>
        <v>1.8240000000000003</v>
      </c>
    </row>
    <row r="4" spans="1:12" x14ac:dyDescent="0.3">
      <c r="A4" t="s">
        <v>278</v>
      </c>
      <c r="B4" t="s">
        <v>282</v>
      </c>
      <c r="C4">
        <v>10</v>
      </c>
      <c r="D4">
        <v>2.5</v>
      </c>
      <c r="E4">
        <v>270</v>
      </c>
      <c r="F4">
        <v>385</v>
      </c>
      <c r="G4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796</v>
      </c>
      <c r="H4">
        <f>SUMIFS(Table4[Quantity],Table4[Wood Type],'Inventory Movement'!A4,Table4[Product Form],'Inventory Movement'!B4,Table4[Width (cm)],'Inventory Movement'!C4,Table4[Thickness (cm)],'Inventory Movement'!D4,Table4[Length (cm)],'Inventory Movement'!E4,Table4[Movement Type],"In")</f>
        <v>178</v>
      </c>
      <c r="I4">
        <f>SUMIFS(Table4[Quantity],Table4[Wood Type],'Inventory Movement'!A4,Table4[Product Form],'Inventory Movement'!B4,Table4[Width (cm)],'Inventory Movement'!C4,Table4[Thickness (cm)],'Inventory Movement'!D4,Table4[Length (cm)],'Inventory Movement'!E4,Table4[Movement Type],"Out")</f>
        <v>0</v>
      </c>
      <c r="J4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249</v>
      </c>
      <c r="K4">
        <f>(Table2[[#This Row],[Opening Stock]]+Table2[[#This Row],[Internal Cutting]]+Table2[[#This Row],[Purchases]])-(Table2[[#This Row],[Sales]]+Table2[[#This Row],[External Cutting]])</f>
        <v>16</v>
      </c>
      <c r="L4">
        <f>(C4/100)*(D4/100)*(E4/100)*Table2[[#This Row],[Current Stock]]</f>
        <v>0.10800000000000003</v>
      </c>
    </row>
    <row r="5" spans="1:12" x14ac:dyDescent="0.3">
      <c r="A5" t="s">
        <v>278</v>
      </c>
      <c r="B5" t="s">
        <v>282</v>
      </c>
      <c r="C5">
        <v>10</v>
      </c>
      <c r="D5">
        <v>2.5</v>
      </c>
      <c r="E5">
        <v>300</v>
      </c>
      <c r="F5">
        <v>665</v>
      </c>
      <c r="G5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807</v>
      </c>
      <c r="H5">
        <f>SUMIFS(Table4[Quantity],Table4[Wood Type],'Inventory Movement'!A5,Table4[Product Form],'Inventory Movement'!B5,Table4[Width (cm)],'Inventory Movement'!C5,Table4[Thickness (cm)],'Inventory Movement'!D5,Table4[Length (cm)],'Inventory Movement'!E5,Table4[Movement Type],"In")</f>
        <v>40</v>
      </c>
      <c r="I5">
        <f>SUMIFS(Table4[Quantity],Table4[Wood Type],'Inventory Movement'!A5,Table4[Product Form],'Inventory Movement'!B5,Table4[Width (cm)],'Inventory Movement'!C5,Table4[Thickness (cm)],'Inventory Movement'!D5,Table4[Length (cm)],'Inventory Movement'!E5,Table4[Movement Type],"Out")</f>
        <v>0</v>
      </c>
      <c r="J5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133</v>
      </c>
      <c r="K5">
        <f>(Table2[[#This Row],[Opening Stock]]+Table2[[#This Row],[Internal Cutting]]+Table2[[#This Row],[Purchases]])-(Table2[[#This Row],[Sales]]+Table2[[#This Row],[External Cutting]])</f>
        <v>31</v>
      </c>
      <c r="L5">
        <f>(C5/100)*(D5/100)*(E5/100)*Table2[[#This Row],[Current Stock]]</f>
        <v>0.23250000000000004</v>
      </c>
    </row>
    <row r="6" spans="1:12" x14ac:dyDescent="0.3">
      <c r="A6" t="s">
        <v>278</v>
      </c>
      <c r="B6" t="s">
        <v>282</v>
      </c>
      <c r="C6">
        <v>10</v>
      </c>
      <c r="D6">
        <v>2.5</v>
      </c>
      <c r="E6">
        <v>330</v>
      </c>
      <c r="F6">
        <v>732</v>
      </c>
      <c r="G6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828</v>
      </c>
      <c r="H6">
        <f>SUMIFS(Table4[Quantity],Table4[Wood Type],'Inventory Movement'!A6,Table4[Product Form],'Inventory Movement'!B6,Table4[Width (cm)],'Inventory Movement'!C6,Table4[Thickness (cm)],'Inventory Movement'!D6,Table4[Length (cm)],'Inventory Movement'!E6,Table4[Movement Type],"In")</f>
        <v>0</v>
      </c>
      <c r="I6">
        <f>SUMIFS(Table4[Quantity],Table4[Wood Type],'Inventory Movement'!A6,Table4[Product Form],'Inventory Movement'!B6,Table4[Width (cm)],'Inventory Movement'!C6,Table4[Thickness (cm)],'Inventory Movement'!D6,Table4[Length (cm)],'Inventory Movement'!E6,Table4[Movement Type],"Out")</f>
        <v>0</v>
      </c>
      <c r="J6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202</v>
      </c>
      <c r="K6">
        <f>(Table2[[#This Row],[Opening Stock]]+Table2[[#This Row],[Internal Cutting]]+Table2[[#This Row],[Purchases]])-(Table2[[#This Row],[Sales]]+Table2[[#This Row],[External Cutting]])</f>
        <v>106</v>
      </c>
      <c r="L6">
        <f>(C6/100)*(D6/100)*(E6/100)*Table2[[#This Row],[Current Stock]]</f>
        <v>0.87450000000000006</v>
      </c>
    </row>
    <row r="7" spans="1:12" x14ac:dyDescent="0.3">
      <c r="A7" t="s">
        <v>278</v>
      </c>
      <c r="B7" t="s">
        <v>282</v>
      </c>
      <c r="C7">
        <v>10</v>
      </c>
      <c r="D7">
        <v>2.5</v>
      </c>
      <c r="E7">
        <v>360</v>
      </c>
      <c r="F7">
        <v>468</v>
      </c>
      <c r="G7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634</v>
      </c>
      <c r="H7">
        <f>SUMIFS(Table4[Quantity],Table4[Wood Type],'Inventory Movement'!A7,Table4[Product Form],'Inventory Movement'!B7,Table4[Width (cm)],'Inventory Movement'!C7,Table4[Thickness (cm)],'Inventory Movement'!D7,Table4[Length (cm)],'Inventory Movement'!E7,Table4[Movement Type],"In")</f>
        <v>0</v>
      </c>
      <c r="I7">
        <f>SUMIFS(Table4[Quantity],Table4[Wood Type],'Inventory Movement'!A7,Table4[Product Form],'Inventory Movement'!B7,Table4[Width (cm)],'Inventory Movement'!C7,Table4[Thickness (cm)],'Inventory Movement'!D7,Table4[Length (cm)],'Inventory Movement'!E7,Table4[Movement Type],"Out")</f>
        <v>0</v>
      </c>
      <c r="J7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963</v>
      </c>
      <c r="K7">
        <f>(Table2[[#This Row],[Opening Stock]]+Table2[[#This Row],[Internal Cutting]]+Table2[[#This Row],[Purchases]])-(Table2[[#This Row],[Sales]]+Table2[[#This Row],[External Cutting]])</f>
        <v>797</v>
      </c>
      <c r="L7">
        <f>(C7/100)*(D7/100)*(E7/100)*Table2[[#This Row],[Current Stock]]</f>
        <v>7.1730000000000018</v>
      </c>
    </row>
    <row r="8" spans="1:12" x14ac:dyDescent="0.3">
      <c r="A8" t="s">
        <v>278</v>
      </c>
      <c r="B8" t="s">
        <v>282</v>
      </c>
      <c r="C8">
        <v>10</v>
      </c>
      <c r="D8">
        <v>2.5</v>
      </c>
      <c r="E8">
        <v>390</v>
      </c>
      <c r="F8">
        <v>342</v>
      </c>
      <c r="G8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438</v>
      </c>
      <c r="H8">
        <f>SUMIFS(Table4[Quantity],Table4[Wood Type],'Inventory Movement'!A8,Table4[Product Form],'Inventory Movement'!B8,Table4[Width (cm)],'Inventory Movement'!C8,Table4[Thickness (cm)],'Inventory Movement'!D8,Table4[Length (cm)],'Inventory Movement'!E8,Table4[Movement Type],"In")</f>
        <v>0</v>
      </c>
      <c r="I8">
        <f>SUMIFS(Table4[Quantity],Table4[Wood Type],'Inventory Movement'!A8,Table4[Product Form],'Inventory Movement'!B8,Table4[Width (cm)],'Inventory Movement'!C8,Table4[Thickness (cm)],'Inventory Movement'!D8,Table4[Length (cm)],'Inventory Movement'!E8,Table4[Movement Type],"Out")</f>
        <v>0</v>
      </c>
      <c r="J8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707</v>
      </c>
      <c r="K8">
        <f>(Table2[[#This Row],[Opening Stock]]+Table2[[#This Row],[Internal Cutting]]+Table2[[#This Row],[Purchases]])-(Table2[[#This Row],[Sales]]+Table2[[#This Row],[External Cutting]])</f>
        <v>611</v>
      </c>
      <c r="L8">
        <f>(C8/100)*(D8/100)*(E8/100)*Table2[[#This Row],[Current Stock]]</f>
        <v>5.957250000000001</v>
      </c>
    </row>
    <row r="9" spans="1:12" x14ac:dyDescent="0.3">
      <c r="A9" t="s">
        <v>278</v>
      </c>
      <c r="B9" t="s">
        <v>282</v>
      </c>
      <c r="C9">
        <v>10</v>
      </c>
      <c r="D9">
        <v>2.5</v>
      </c>
      <c r="E9">
        <v>420</v>
      </c>
      <c r="F9">
        <v>807</v>
      </c>
      <c r="G9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548</v>
      </c>
      <c r="H9">
        <f>SUMIFS(Table4[Quantity],Table4[Wood Type],'Inventory Movement'!A9,Table4[Product Form],'Inventory Movement'!B9,Table4[Width (cm)],'Inventory Movement'!C9,Table4[Thickness (cm)],'Inventory Movement'!D9,Table4[Length (cm)],'Inventory Movement'!E9,Table4[Movement Type],"In")</f>
        <v>0</v>
      </c>
      <c r="I9">
        <f>SUMIFS(Table4[Quantity],Table4[Wood Type],'Inventory Movement'!A9,Table4[Product Form],'Inventory Movement'!B9,Table4[Width (cm)],'Inventory Movement'!C9,Table4[Thickness (cm)],'Inventory Movement'!D9,Table4[Length (cm)],'Inventory Movement'!E9,Table4[Movement Type],"Out")</f>
        <v>5</v>
      </c>
      <c r="J9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733</v>
      </c>
      <c r="K9">
        <f>(Table2[[#This Row],[Opening Stock]]+Table2[[#This Row],[Internal Cutting]]+Table2[[#This Row],[Purchases]])-(Table2[[#This Row],[Sales]]+Table2[[#This Row],[External Cutting]])</f>
        <v>987</v>
      </c>
      <c r="L9">
        <f>(C9/100)*(D9/100)*(E9/100)*Table2[[#This Row],[Current Stock]]</f>
        <v>10.363500000000002</v>
      </c>
    </row>
    <row r="10" spans="1:12" x14ac:dyDescent="0.3">
      <c r="A10" t="s">
        <v>278</v>
      </c>
      <c r="B10" t="s">
        <v>282</v>
      </c>
      <c r="C10">
        <v>10</v>
      </c>
      <c r="D10">
        <v>2.5</v>
      </c>
      <c r="E10">
        <v>450</v>
      </c>
      <c r="F10">
        <v>372</v>
      </c>
      <c r="G10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366</v>
      </c>
      <c r="H10">
        <f>SUMIFS(Table4[Quantity],Table4[Wood Type],'Inventory Movement'!A10,Table4[Product Form],'Inventory Movement'!B10,Table4[Width (cm)],'Inventory Movement'!C10,Table4[Thickness (cm)],'Inventory Movement'!D10,Table4[Length (cm)],'Inventory Movement'!E10,Table4[Movement Type],"In")</f>
        <v>0</v>
      </c>
      <c r="I10">
        <f>SUMIFS(Table4[Quantity],Table4[Wood Type],'Inventory Movement'!A10,Table4[Product Form],'Inventory Movement'!B10,Table4[Width (cm)],'Inventory Movement'!C10,Table4[Thickness (cm)],'Inventory Movement'!D10,Table4[Length (cm)],'Inventory Movement'!E10,Table4[Movement Type],"Out")</f>
        <v>0</v>
      </c>
      <c r="J10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719</v>
      </c>
      <c r="K10">
        <f>(Table2[[#This Row],[Opening Stock]]+Table2[[#This Row],[Internal Cutting]]+Table2[[#This Row],[Purchases]])-(Table2[[#This Row],[Sales]]+Table2[[#This Row],[External Cutting]])</f>
        <v>725</v>
      </c>
      <c r="L10">
        <f>(C10/100)*(D10/100)*(E10/100)*Table2[[#This Row],[Current Stock]]</f>
        <v>8.1562500000000018</v>
      </c>
    </row>
    <row r="11" spans="1:12" x14ac:dyDescent="0.3">
      <c r="A11" t="s">
        <v>278</v>
      </c>
      <c r="B11" t="s">
        <v>282</v>
      </c>
      <c r="C11">
        <v>10</v>
      </c>
      <c r="D11">
        <v>2.5</v>
      </c>
      <c r="E11">
        <v>480</v>
      </c>
      <c r="F11">
        <v>891</v>
      </c>
      <c r="G11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212</v>
      </c>
      <c r="H11">
        <f>SUMIFS(Table4[Quantity],Table4[Wood Type],'Inventory Movement'!A11,Table4[Product Form],'Inventory Movement'!B11,Table4[Width (cm)],'Inventory Movement'!C11,Table4[Thickness (cm)],'Inventory Movement'!D11,Table4[Length (cm)],'Inventory Movement'!E11,Table4[Movement Type],"In")</f>
        <v>0</v>
      </c>
      <c r="I11">
        <f>SUMIFS(Table4[Quantity],Table4[Wood Type],'Inventory Movement'!A11,Table4[Product Form],'Inventory Movement'!B11,Table4[Width (cm)],'Inventory Movement'!C11,Table4[Thickness (cm)],'Inventory Movement'!D11,Table4[Length (cm)],'Inventory Movement'!E11,Table4[Movement Type],"Out")</f>
        <v>46</v>
      </c>
      <c r="J11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349</v>
      </c>
      <c r="K11">
        <f>(Table2[[#This Row],[Opening Stock]]+Table2[[#This Row],[Internal Cutting]]+Table2[[#This Row],[Purchases]])-(Table2[[#This Row],[Sales]]+Table2[[#This Row],[External Cutting]])</f>
        <v>982</v>
      </c>
      <c r="L11">
        <f>(C11/100)*(D11/100)*(E11/100)*Table2[[#This Row],[Current Stock]]</f>
        <v>11.784000000000002</v>
      </c>
    </row>
    <row r="12" spans="1:12" x14ac:dyDescent="0.3">
      <c r="A12" t="s">
        <v>278</v>
      </c>
      <c r="B12" t="s">
        <v>282</v>
      </c>
      <c r="C12">
        <v>10</v>
      </c>
      <c r="D12">
        <v>2.5</v>
      </c>
      <c r="E12">
        <v>510</v>
      </c>
      <c r="F12">
        <v>243</v>
      </c>
      <c r="G12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191</v>
      </c>
      <c r="H12">
        <f>SUMIFS(Table4[Quantity],Table4[Wood Type],'Inventory Movement'!A12,Table4[Product Form],'Inventory Movement'!B12,Table4[Width (cm)],'Inventory Movement'!C12,Table4[Thickness (cm)],'Inventory Movement'!D12,Table4[Length (cm)],'Inventory Movement'!E12,Table4[Movement Type],"In")</f>
        <v>0</v>
      </c>
      <c r="I12">
        <f>SUMIFS(Table4[Quantity],Table4[Wood Type],'Inventory Movement'!A12,Table4[Product Form],'Inventory Movement'!B12,Table4[Width (cm)],'Inventory Movement'!C12,Table4[Thickness (cm)],'Inventory Movement'!D12,Table4[Length (cm)],'Inventory Movement'!E12,Table4[Movement Type],"Out")</f>
        <v>0</v>
      </c>
      <c r="J12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571</v>
      </c>
      <c r="K12">
        <f>(Table2[[#This Row],[Opening Stock]]+Table2[[#This Row],[Internal Cutting]]+Table2[[#This Row],[Purchases]])-(Table2[[#This Row],[Sales]]+Table2[[#This Row],[External Cutting]])</f>
        <v>623</v>
      </c>
      <c r="L12">
        <f>(C12/100)*(D12/100)*(E12/100)*Table2[[#This Row],[Current Stock]]</f>
        <v>7.9432500000000008</v>
      </c>
    </row>
    <row r="13" spans="1:12" x14ac:dyDescent="0.3">
      <c r="A13" t="s">
        <v>278</v>
      </c>
      <c r="B13" t="s">
        <v>282</v>
      </c>
      <c r="C13">
        <v>10</v>
      </c>
      <c r="D13">
        <v>2.5</v>
      </c>
      <c r="E13">
        <v>540</v>
      </c>
      <c r="F13">
        <v>0</v>
      </c>
      <c r="G13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261</v>
      </c>
      <c r="H13">
        <f>SUMIFS(Table4[Quantity],Table4[Wood Type],'Inventory Movement'!A13,Table4[Product Form],'Inventory Movement'!B13,Table4[Width (cm)],'Inventory Movement'!C13,Table4[Thickness (cm)],'Inventory Movement'!D13,Table4[Length (cm)],'Inventory Movement'!E13,Table4[Movement Type],"In")</f>
        <v>0</v>
      </c>
      <c r="I13">
        <f>SUMIFS(Table4[Quantity],Table4[Wood Type],'Inventory Movement'!A13,Table4[Product Form],'Inventory Movement'!B13,Table4[Width (cm)],'Inventory Movement'!C13,Table4[Thickness (cm)],'Inventory Movement'!D13,Table4[Length (cm)],'Inventory Movement'!E13,Table4[Movement Type],"Out")</f>
        <v>89</v>
      </c>
      <c r="J13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623</v>
      </c>
      <c r="K13">
        <f>(Table2[[#This Row],[Opening Stock]]+Table2[[#This Row],[Internal Cutting]]+Table2[[#This Row],[Purchases]])-(Table2[[#This Row],[Sales]]+Table2[[#This Row],[External Cutting]])</f>
        <v>273</v>
      </c>
      <c r="L13">
        <f>(C13/100)*(D13/100)*(E13/100)*Table2[[#This Row],[Current Stock]]</f>
        <v>3.6855000000000011</v>
      </c>
    </row>
    <row r="14" spans="1:12" x14ac:dyDescent="0.3">
      <c r="A14" t="s">
        <v>278</v>
      </c>
      <c r="B14" t="s">
        <v>282</v>
      </c>
      <c r="C14">
        <v>10</v>
      </c>
      <c r="D14">
        <v>2.5</v>
      </c>
      <c r="E14">
        <v>570</v>
      </c>
      <c r="F14">
        <v>0</v>
      </c>
      <c r="G14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14">
        <f>SUMIFS(Table4[Quantity],Table4[Wood Type],'Inventory Movement'!A14,Table4[Product Form],'Inventory Movement'!B14,Table4[Width (cm)],'Inventory Movement'!C14,Table4[Thickness (cm)],'Inventory Movement'!D14,Table4[Length (cm)],'Inventory Movement'!E14,Table4[Movement Type],"In")</f>
        <v>0</v>
      </c>
      <c r="I14">
        <f>SUMIFS(Table4[Quantity],Table4[Wood Type],'Inventory Movement'!A14,Table4[Product Form],'Inventory Movement'!B14,Table4[Width (cm)],'Inventory Movement'!C14,Table4[Thickness (cm)],'Inventory Movement'!D14,Table4[Length (cm)],'Inventory Movement'!E14,Table4[Movement Type],"Out")</f>
        <v>0</v>
      </c>
      <c r="J14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4">
        <f>(Table2[[#This Row],[Opening Stock]]+Table2[[#This Row],[Internal Cutting]]+Table2[[#This Row],[Purchases]])-(Table2[[#This Row],[Sales]]+Table2[[#This Row],[External Cutting]])</f>
        <v>0</v>
      </c>
      <c r="L14">
        <f>(C14/100)*(D14/100)*(E14/100)*Table2[[#This Row],[Current Stock]]</f>
        <v>0</v>
      </c>
    </row>
    <row r="15" spans="1:12" x14ac:dyDescent="0.3">
      <c r="A15" t="s">
        <v>278</v>
      </c>
      <c r="B15" t="s">
        <v>282</v>
      </c>
      <c r="C15">
        <v>10</v>
      </c>
      <c r="D15">
        <v>2.5</v>
      </c>
      <c r="E15">
        <v>600</v>
      </c>
      <c r="F15">
        <v>0</v>
      </c>
      <c r="G15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15">
        <f>SUMIFS(Table4[Quantity],Table4[Wood Type],'Inventory Movement'!A15,Table4[Product Form],'Inventory Movement'!B15,Table4[Width (cm)],'Inventory Movement'!C15,Table4[Thickness (cm)],'Inventory Movement'!D15,Table4[Length (cm)],'Inventory Movement'!E15,Table4[Movement Type],"In")</f>
        <v>0</v>
      </c>
      <c r="I15">
        <f>SUMIFS(Table4[Quantity],Table4[Wood Type],'Inventory Movement'!A15,Table4[Product Form],'Inventory Movement'!B15,Table4[Width (cm)],'Inventory Movement'!C15,Table4[Thickness (cm)],'Inventory Movement'!D15,Table4[Length (cm)],'Inventory Movement'!E15,Table4[Movement Type],"Out")</f>
        <v>0</v>
      </c>
      <c r="J15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5">
        <f>(Table2[[#This Row],[Opening Stock]]+Table2[[#This Row],[Internal Cutting]]+Table2[[#This Row],[Purchases]])-(Table2[[#This Row],[Sales]]+Table2[[#This Row],[External Cutting]])</f>
        <v>0</v>
      </c>
      <c r="L15">
        <f>(C15/100)*(D15/100)*(E15/100)*Table2[[#This Row],[Current Stock]]</f>
        <v>0</v>
      </c>
    </row>
    <row r="16" spans="1:12" x14ac:dyDescent="0.3">
      <c r="A16" t="s">
        <v>278</v>
      </c>
      <c r="B16" t="s">
        <v>282</v>
      </c>
      <c r="C16">
        <v>12.5</v>
      </c>
      <c r="D16">
        <v>2.5</v>
      </c>
      <c r="E16">
        <v>300</v>
      </c>
      <c r="F16">
        <v>0</v>
      </c>
      <c r="G16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16">
        <f>SUMIFS(Table4[Quantity],Table4[Wood Type],'Inventory Movement'!A16,Table4[Product Form],'Inventory Movement'!B16,Table4[Width (cm)],'Inventory Movement'!C16,Table4[Thickness (cm)],'Inventory Movement'!D16,Table4[Length (cm)],'Inventory Movement'!E16,Table4[Movement Type],"In")</f>
        <v>0</v>
      </c>
      <c r="I16">
        <f>SUMIFS(Table4[Quantity],Table4[Wood Type],'Inventory Movement'!A16,Table4[Product Form],'Inventory Movement'!B16,Table4[Width (cm)],'Inventory Movement'!C16,Table4[Thickness (cm)],'Inventory Movement'!D16,Table4[Length (cm)],'Inventory Movement'!E16,Table4[Movement Type],"Out")</f>
        <v>0</v>
      </c>
      <c r="J16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6">
        <f>(Table2[[#This Row],[Opening Stock]]+Table2[[#This Row],[Internal Cutting]]+Table2[[#This Row],[Purchases]])-(Table2[[#This Row],[Sales]]+Table2[[#This Row],[External Cutting]])</f>
        <v>0</v>
      </c>
      <c r="L16">
        <f>(C16/100)*(D16/100)*(E16/100)*Table2[[#This Row],[Current Stock]]</f>
        <v>0</v>
      </c>
    </row>
    <row r="17" spans="1:12" x14ac:dyDescent="0.3">
      <c r="A17" t="s">
        <v>278</v>
      </c>
      <c r="B17" t="s">
        <v>282</v>
      </c>
      <c r="C17">
        <v>12.5</v>
      </c>
      <c r="D17">
        <v>2.5</v>
      </c>
      <c r="E17">
        <v>330</v>
      </c>
      <c r="F17">
        <v>330</v>
      </c>
      <c r="G17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330</v>
      </c>
      <c r="H17">
        <f>SUMIFS(Table4[Quantity],Table4[Wood Type],'Inventory Movement'!A17,Table4[Product Form],'Inventory Movement'!B17,Table4[Width (cm)],'Inventory Movement'!C17,Table4[Thickness (cm)],'Inventory Movement'!D17,Table4[Length (cm)],'Inventory Movement'!E17,Table4[Movement Type],"In")</f>
        <v>0</v>
      </c>
      <c r="I17">
        <f>SUMIFS(Table4[Quantity],Table4[Wood Type],'Inventory Movement'!A17,Table4[Product Form],'Inventory Movement'!B17,Table4[Width (cm)],'Inventory Movement'!C17,Table4[Thickness (cm)],'Inventory Movement'!D17,Table4[Length (cm)],'Inventory Movement'!E17,Table4[Movement Type],"Out")</f>
        <v>0</v>
      </c>
      <c r="J17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7">
        <f>(Table2[[#This Row],[Opening Stock]]+Table2[[#This Row],[Internal Cutting]]+Table2[[#This Row],[Purchases]])-(Table2[[#This Row],[Sales]]+Table2[[#This Row],[External Cutting]])</f>
        <v>0</v>
      </c>
      <c r="L17">
        <f>(C17/100)*(D17/100)*(E17/100)*Table2[[#This Row],[Current Stock]]</f>
        <v>0</v>
      </c>
    </row>
    <row r="18" spans="1:12" x14ac:dyDescent="0.3">
      <c r="A18" t="s">
        <v>278</v>
      </c>
      <c r="B18" t="s">
        <v>282</v>
      </c>
      <c r="C18">
        <v>12.5</v>
      </c>
      <c r="D18">
        <v>2.5</v>
      </c>
      <c r="E18">
        <v>360</v>
      </c>
      <c r="F18">
        <v>25</v>
      </c>
      <c r="G18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25</v>
      </c>
      <c r="H18">
        <f>SUMIFS(Table4[Quantity],Table4[Wood Type],'Inventory Movement'!A18,Table4[Product Form],'Inventory Movement'!B18,Table4[Width (cm)],'Inventory Movement'!C18,Table4[Thickness (cm)],'Inventory Movement'!D18,Table4[Length (cm)],'Inventory Movement'!E18,Table4[Movement Type],"In")</f>
        <v>0</v>
      </c>
      <c r="I18">
        <f>SUMIFS(Table4[Quantity],Table4[Wood Type],'Inventory Movement'!A18,Table4[Product Form],'Inventory Movement'!B18,Table4[Width (cm)],'Inventory Movement'!C18,Table4[Thickness (cm)],'Inventory Movement'!D18,Table4[Length (cm)],'Inventory Movement'!E18,Table4[Movement Type],"Out")</f>
        <v>0</v>
      </c>
      <c r="J18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8">
        <f>(Table2[[#This Row],[Opening Stock]]+Table2[[#This Row],[Internal Cutting]]+Table2[[#This Row],[Purchases]])-(Table2[[#This Row],[Sales]]+Table2[[#This Row],[External Cutting]])</f>
        <v>0</v>
      </c>
      <c r="L18">
        <f>(C18/100)*(D18/100)*(E18/100)*Table2[[#This Row],[Current Stock]]</f>
        <v>0</v>
      </c>
    </row>
    <row r="19" spans="1:12" x14ac:dyDescent="0.3">
      <c r="A19" t="s">
        <v>278</v>
      </c>
      <c r="B19" t="s">
        <v>282</v>
      </c>
      <c r="C19">
        <v>12.5</v>
      </c>
      <c r="D19">
        <v>2.5</v>
      </c>
      <c r="E19">
        <v>390</v>
      </c>
      <c r="F19">
        <v>0</v>
      </c>
      <c r="G19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19">
        <f>SUMIFS(Table4[Quantity],Table4[Wood Type],'Inventory Movement'!A19,Table4[Product Form],'Inventory Movement'!B19,Table4[Width (cm)],'Inventory Movement'!C19,Table4[Thickness (cm)],'Inventory Movement'!D19,Table4[Length (cm)],'Inventory Movement'!E19,Table4[Movement Type],"In")</f>
        <v>0</v>
      </c>
      <c r="I19">
        <f>SUMIFS(Table4[Quantity],Table4[Wood Type],'Inventory Movement'!A19,Table4[Product Form],'Inventory Movement'!B19,Table4[Width (cm)],'Inventory Movement'!C19,Table4[Thickness (cm)],'Inventory Movement'!D19,Table4[Length (cm)],'Inventory Movement'!E19,Table4[Movement Type],"Out")</f>
        <v>0</v>
      </c>
      <c r="J19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19">
        <f>(Table2[[#This Row],[Opening Stock]]+Table2[[#This Row],[Internal Cutting]]+Table2[[#This Row],[Purchases]])-(Table2[[#This Row],[Sales]]+Table2[[#This Row],[External Cutting]])</f>
        <v>0</v>
      </c>
      <c r="L19">
        <f>(C19/100)*(D19/100)*(E19/100)*Table2[[#This Row],[Current Stock]]</f>
        <v>0</v>
      </c>
    </row>
    <row r="20" spans="1:12" x14ac:dyDescent="0.3">
      <c r="A20" t="s">
        <v>278</v>
      </c>
      <c r="B20" t="s">
        <v>282</v>
      </c>
      <c r="C20">
        <v>12.5</v>
      </c>
      <c r="D20">
        <v>2.5</v>
      </c>
      <c r="E20">
        <v>420</v>
      </c>
      <c r="F20">
        <v>25</v>
      </c>
      <c r="G20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25</v>
      </c>
      <c r="H20">
        <f>SUMIFS(Table4[Quantity],Table4[Wood Type],'Inventory Movement'!A20,Table4[Product Form],'Inventory Movement'!B20,Table4[Width (cm)],'Inventory Movement'!C20,Table4[Thickness (cm)],'Inventory Movement'!D20,Table4[Length (cm)],'Inventory Movement'!E20,Table4[Movement Type],"In")</f>
        <v>0</v>
      </c>
      <c r="I20">
        <f>SUMIFS(Table4[Quantity],Table4[Wood Type],'Inventory Movement'!A20,Table4[Product Form],'Inventory Movement'!B20,Table4[Width (cm)],'Inventory Movement'!C20,Table4[Thickness (cm)],'Inventory Movement'!D20,Table4[Length (cm)],'Inventory Movement'!E20,Table4[Movement Type],"Out")</f>
        <v>0</v>
      </c>
      <c r="J20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0">
        <f>(Table2[[#This Row],[Opening Stock]]+Table2[[#This Row],[Internal Cutting]]+Table2[[#This Row],[Purchases]])-(Table2[[#This Row],[Sales]]+Table2[[#This Row],[External Cutting]])</f>
        <v>0</v>
      </c>
      <c r="L20">
        <f>(C20/100)*(D20/100)*(E20/100)*Table2[[#This Row],[Current Stock]]</f>
        <v>0</v>
      </c>
    </row>
    <row r="21" spans="1:12" x14ac:dyDescent="0.3">
      <c r="A21" t="s">
        <v>278</v>
      </c>
      <c r="B21" t="s">
        <v>282</v>
      </c>
      <c r="C21">
        <v>12.5</v>
      </c>
      <c r="D21">
        <v>2.5</v>
      </c>
      <c r="E21">
        <v>450</v>
      </c>
      <c r="F21">
        <v>40</v>
      </c>
      <c r="G21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40</v>
      </c>
      <c r="H21">
        <f>SUMIFS(Table4[Quantity],Table4[Wood Type],'Inventory Movement'!A21,Table4[Product Form],'Inventory Movement'!B21,Table4[Width (cm)],'Inventory Movement'!C21,Table4[Thickness (cm)],'Inventory Movement'!D21,Table4[Length (cm)],'Inventory Movement'!E21,Table4[Movement Type],"In")</f>
        <v>0</v>
      </c>
      <c r="I21">
        <f>SUMIFS(Table4[Quantity],Table4[Wood Type],'Inventory Movement'!A21,Table4[Product Form],'Inventory Movement'!B21,Table4[Width (cm)],'Inventory Movement'!C21,Table4[Thickness (cm)],'Inventory Movement'!D21,Table4[Length (cm)],'Inventory Movement'!E21,Table4[Movement Type],"Out")</f>
        <v>0</v>
      </c>
      <c r="J21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1">
        <f>(Table2[[#This Row],[Opening Stock]]+Table2[[#This Row],[Internal Cutting]]+Table2[[#This Row],[Purchases]])-(Table2[[#This Row],[Sales]]+Table2[[#This Row],[External Cutting]])</f>
        <v>0</v>
      </c>
      <c r="L21">
        <f>(C21/100)*(D21/100)*(E21/100)*Table2[[#This Row],[Current Stock]]</f>
        <v>0</v>
      </c>
    </row>
    <row r="22" spans="1:12" x14ac:dyDescent="0.3">
      <c r="A22" t="s">
        <v>278</v>
      </c>
      <c r="B22" t="s">
        <v>282</v>
      </c>
      <c r="C22">
        <v>12.5</v>
      </c>
      <c r="D22">
        <v>2.5</v>
      </c>
      <c r="E22">
        <v>480</v>
      </c>
      <c r="F22">
        <v>76</v>
      </c>
      <c r="G22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22">
        <f>SUMIFS(Table4[Quantity],Table4[Wood Type],'Inventory Movement'!A22,Table4[Product Form],'Inventory Movement'!B22,Table4[Width (cm)],'Inventory Movement'!C22,Table4[Thickness (cm)],'Inventory Movement'!D22,Table4[Length (cm)],'Inventory Movement'!E22,Table4[Movement Type],"In")</f>
        <v>0</v>
      </c>
      <c r="I22">
        <f>SUMIFS(Table4[Quantity],Table4[Wood Type],'Inventory Movement'!A22,Table4[Product Form],'Inventory Movement'!B22,Table4[Width (cm)],'Inventory Movement'!C22,Table4[Thickness (cm)],'Inventory Movement'!D22,Table4[Length (cm)],'Inventory Movement'!E22,Table4[Movement Type],"Out")</f>
        <v>1</v>
      </c>
      <c r="J22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2">
        <f>(Table2[[#This Row],[Opening Stock]]+Table2[[#This Row],[Internal Cutting]]+Table2[[#This Row],[Purchases]])-(Table2[[#This Row],[Sales]]+Table2[[#This Row],[External Cutting]])</f>
        <v>75</v>
      </c>
      <c r="L22">
        <f>(C22/100)*(D22/100)*(E22/100)*Table2[[#This Row],[Current Stock]]</f>
        <v>1.125</v>
      </c>
    </row>
    <row r="23" spans="1:12" x14ac:dyDescent="0.3">
      <c r="A23" t="s">
        <v>278</v>
      </c>
      <c r="B23" t="s">
        <v>282</v>
      </c>
      <c r="C23">
        <v>12.5</v>
      </c>
      <c r="D23">
        <v>2.5</v>
      </c>
      <c r="E23">
        <v>510</v>
      </c>
      <c r="F23">
        <v>71</v>
      </c>
      <c r="G23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23">
        <f>SUMIFS(Table4[Quantity],Table4[Wood Type],'Inventory Movement'!A23,Table4[Product Form],'Inventory Movement'!B23,Table4[Width (cm)],'Inventory Movement'!C23,Table4[Thickness (cm)],'Inventory Movement'!D23,Table4[Length (cm)],'Inventory Movement'!E23,Table4[Movement Type],"In")</f>
        <v>0</v>
      </c>
      <c r="I23">
        <f>SUMIFS(Table4[Quantity],Table4[Wood Type],'Inventory Movement'!A23,Table4[Product Form],'Inventory Movement'!B23,Table4[Width (cm)],'Inventory Movement'!C23,Table4[Thickness (cm)],'Inventory Movement'!D23,Table4[Length (cm)],'Inventory Movement'!E23,Table4[Movement Type],"Out")</f>
        <v>71</v>
      </c>
      <c r="J23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3">
        <f>(Table2[[#This Row],[Opening Stock]]+Table2[[#This Row],[Internal Cutting]]+Table2[[#This Row],[Purchases]])-(Table2[[#This Row],[Sales]]+Table2[[#This Row],[External Cutting]])</f>
        <v>0</v>
      </c>
      <c r="L23">
        <f>(C23/100)*(D23/100)*(E23/100)*Table2[[#This Row],[Current Stock]]</f>
        <v>0</v>
      </c>
    </row>
    <row r="24" spans="1:12" x14ac:dyDescent="0.3">
      <c r="A24" t="s">
        <v>278</v>
      </c>
      <c r="B24" t="s">
        <v>282</v>
      </c>
      <c r="C24">
        <v>12.5</v>
      </c>
      <c r="D24">
        <v>2.5</v>
      </c>
      <c r="E24">
        <v>540</v>
      </c>
      <c r="F24">
        <v>49</v>
      </c>
      <c r="G24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24">
        <f>SUMIFS(Table4[Quantity],Table4[Wood Type],'Inventory Movement'!A24,Table4[Product Form],'Inventory Movement'!B24,Table4[Width (cm)],'Inventory Movement'!C24,Table4[Thickness (cm)],'Inventory Movement'!D24,Table4[Length (cm)],'Inventory Movement'!E24,Table4[Movement Type],"In")</f>
        <v>0</v>
      </c>
      <c r="I24">
        <f>SUMIFS(Table4[Quantity],Table4[Wood Type],'Inventory Movement'!A24,Table4[Product Form],'Inventory Movement'!B24,Table4[Width (cm)],'Inventory Movement'!C24,Table4[Thickness (cm)],'Inventory Movement'!D24,Table4[Length (cm)],'Inventory Movement'!E24,Table4[Movement Type],"Out")</f>
        <v>0</v>
      </c>
      <c r="J24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4">
        <f>(Table2[[#This Row],[Opening Stock]]+Table2[[#This Row],[Internal Cutting]]+Table2[[#This Row],[Purchases]])-(Table2[[#This Row],[Sales]]+Table2[[#This Row],[External Cutting]])</f>
        <v>49</v>
      </c>
      <c r="L24">
        <f>(C24/100)*(D24/100)*(E24/100)*Table2[[#This Row],[Current Stock]]</f>
        <v>0.82687500000000003</v>
      </c>
    </row>
    <row r="25" spans="1:12" x14ac:dyDescent="0.3">
      <c r="A25" t="s">
        <v>278</v>
      </c>
      <c r="B25" t="s">
        <v>282</v>
      </c>
      <c r="C25">
        <v>12.5</v>
      </c>
      <c r="D25">
        <v>2.5</v>
      </c>
      <c r="E25">
        <v>570</v>
      </c>
      <c r="F25">
        <v>0</v>
      </c>
      <c r="G25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25">
        <f>SUMIFS(Table4[Quantity],Table4[Wood Type],'Inventory Movement'!A25,Table4[Product Form],'Inventory Movement'!B25,Table4[Width (cm)],'Inventory Movement'!C25,Table4[Thickness (cm)],'Inventory Movement'!D25,Table4[Length (cm)],'Inventory Movement'!E25,Table4[Movement Type],"In")</f>
        <v>0</v>
      </c>
      <c r="I25">
        <f>SUMIFS(Table4[Quantity],Table4[Wood Type],'Inventory Movement'!A25,Table4[Product Form],'Inventory Movement'!B25,Table4[Width (cm)],'Inventory Movement'!C25,Table4[Thickness (cm)],'Inventory Movement'!D25,Table4[Length (cm)],'Inventory Movement'!E25,Table4[Movement Type],"Out")</f>
        <v>0</v>
      </c>
      <c r="J25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5">
        <f>(Table2[[#This Row],[Opening Stock]]+Table2[[#This Row],[Internal Cutting]]+Table2[[#This Row],[Purchases]])-(Table2[[#This Row],[Sales]]+Table2[[#This Row],[External Cutting]])</f>
        <v>0</v>
      </c>
      <c r="L25">
        <f>(C25/100)*(D25/100)*(E25/100)*Table2[[#This Row],[Current Stock]]</f>
        <v>0</v>
      </c>
    </row>
    <row r="26" spans="1:12" x14ac:dyDescent="0.3">
      <c r="A26" t="s">
        <v>278</v>
      </c>
      <c r="B26" t="s">
        <v>282</v>
      </c>
      <c r="C26">
        <v>12.5</v>
      </c>
      <c r="D26">
        <v>2.5</v>
      </c>
      <c r="E26">
        <v>600</v>
      </c>
      <c r="F26">
        <v>90</v>
      </c>
      <c r="G26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35</v>
      </c>
      <c r="H26">
        <f>SUMIFS(Table4[Quantity],Table4[Wood Type],'Inventory Movement'!A26,Table4[Product Form],'Inventory Movement'!B26,Table4[Width (cm)],'Inventory Movement'!C26,Table4[Thickness (cm)],'Inventory Movement'!D26,Table4[Length (cm)],'Inventory Movement'!E26,Table4[Movement Type],"In")</f>
        <v>0</v>
      </c>
      <c r="I26">
        <f>SUMIFS(Table4[Quantity],Table4[Wood Type],'Inventory Movement'!A26,Table4[Product Form],'Inventory Movement'!B26,Table4[Width (cm)],'Inventory Movement'!C26,Table4[Thickness (cm)],'Inventory Movement'!D26,Table4[Length (cm)],'Inventory Movement'!E26,Table4[Movement Type],"Out")</f>
        <v>0</v>
      </c>
      <c r="J26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26">
        <f>(Table2[[#This Row],[Opening Stock]]+Table2[[#This Row],[Internal Cutting]]+Table2[[#This Row],[Purchases]])-(Table2[[#This Row],[Sales]]+Table2[[#This Row],[External Cutting]])</f>
        <v>55</v>
      </c>
      <c r="L26">
        <f>(C26/100)*(D26/100)*(E26/100)*Table2[[#This Row],[Current Stock]]</f>
        <v>1.0312500000000002</v>
      </c>
    </row>
    <row r="27" spans="1:12" x14ac:dyDescent="0.3">
      <c r="A27" t="s">
        <v>278</v>
      </c>
      <c r="B27" t="s">
        <v>283</v>
      </c>
      <c r="C27">
        <v>10</v>
      </c>
      <c r="D27">
        <v>2.5</v>
      </c>
      <c r="E27">
        <v>90</v>
      </c>
      <c r="F27">
        <v>409</v>
      </c>
      <c r="G27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495</v>
      </c>
      <c r="H27">
        <f>SUMIFS(Table4[Quantity],Table4[Wood Type],'Inventory Movement'!A27,Table4[Product Form],'Inventory Movement'!B27,Table4[Width (cm)],'Inventory Movement'!C27,Table4[Thickness (cm)],'Inventory Movement'!D27,Table4[Length (cm)],'Inventory Movement'!E27,Table4[Movement Type],"In")</f>
        <v>0</v>
      </c>
      <c r="I27">
        <f>SUMIFS(Table4[Quantity],Table4[Wood Type],'Inventory Movement'!A27,Table4[Product Form],'Inventory Movement'!B27,Table4[Width (cm)],'Inventory Movement'!C27,Table4[Thickness (cm)],'Inventory Movement'!D27,Table4[Length (cm)],'Inventory Movement'!E27,Table4[Movement Type],"Out")</f>
        <v>0</v>
      </c>
      <c r="J27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416</v>
      </c>
      <c r="K27">
        <f>(Table2[[#This Row],[Opening Stock]]+Table2[[#This Row],[Internal Cutting]]+Table2[[#This Row],[Purchases]])-(Table2[[#This Row],[Sales]]+Table2[[#This Row],[External Cutting]])</f>
        <v>330</v>
      </c>
      <c r="L27">
        <f>(C27/100)*(D27/100)*(E27/100)*Table2[[#This Row],[Current Stock]]</f>
        <v>0.74250000000000027</v>
      </c>
    </row>
    <row r="28" spans="1:12" x14ac:dyDescent="0.3">
      <c r="A28" t="s">
        <v>278</v>
      </c>
      <c r="B28" t="s">
        <v>283</v>
      </c>
      <c r="C28">
        <v>10</v>
      </c>
      <c r="D28">
        <v>2.5</v>
      </c>
      <c r="E28">
        <v>120</v>
      </c>
      <c r="F28">
        <v>460</v>
      </c>
      <c r="G28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576</v>
      </c>
      <c r="H28">
        <f>SUMIFS(Table4[Quantity],Table4[Wood Type],'Inventory Movement'!A28,Table4[Product Form],'Inventory Movement'!B28,Table4[Width (cm)],'Inventory Movement'!C28,Table4[Thickness (cm)],'Inventory Movement'!D28,Table4[Length (cm)],'Inventory Movement'!E28,Table4[Movement Type],"In")</f>
        <v>30</v>
      </c>
      <c r="I28">
        <f>SUMIFS(Table4[Quantity],Table4[Wood Type],'Inventory Movement'!A28,Table4[Product Form],'Inventory Movement'!B28,Table4[Width (cm)],'Inventory Movement'!C28,Table4[Thickness (cm)],'Inventory Movement'!D28,Table4[Length (cm)],'Inventory Movement'!E28,Table4[Movement Type],"Out")</f>
        <v>0</v>
      </c>
      <c r="J28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186</v>
      </c>
      <c r="K28">
        <f>(Table2[[#This Row],[Opening Stock]]+Table2[[#This Row],[Internal Cutting]]+Table2[[#This Row],[Purchases]])-(Table2[[#This Row],[Sales]]+Table2[[#This Row],[External Cutting]])</f>
        <v>100</v>
      </c>
      <c r="L28">
        <f>(C28/100)*(D28/100)*(E28/100)*Table2[[#This Row],[Current Stock]]</f>
        <v>0.30000000000000004</v>
      </c>
    </row>
    <row r="29" spans="1:12" x14ac:dyDescent="0.3">
      <c r="A29" t="s">
        <v>278</v>
      </c>
      <c r="B29" t="s">
        <v>283</v>
      </c>
      <c r="C29">
        <v>10</v>
      </c>
      <c r="D29">
        <v>2.5</v>
      </c>
      <c r="E29">
        <v>150</v>
      </c>
      <c r="F29">
        <v>365</v>
      </c>
      <c r="G29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342</v>
      </c>
      <c r="H29">
        <f>SUMIFS(Table4[Quantity],Table4[Wood Type],'Inventory Movement'!A29,Table4[Product Form],'Inventory Movement'!B29,Table4[Width (cm)],'Inventory Movement'!C29,Table4[Thickness (cm)],'Inventory Movement'!D29,Table4[Length (cm)],'Inventory Movement'!E29,Table4[Movement Type],"In")</f>
        <v>0</v>
      </c>
      <c r="I29">
        <f>SUMIFS(Table4[Quantity],Table4[Wood Type],'Inventory Movement'!A29,Table4[Product Form],'Inventory Movement'!B29,Table4[Width (cm)],'Inventory Movement'!C29,Table4[Thickness (cm)],'Inventory Movement'!D29,Table4[Length (cm)],'Inventory Movement'!E29,Table4[Movement Type],"Out")</f>
        <v>0</v>
      </c>
      <c r="J29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87</v>
      </c>
      <c r="K29">
        <f>(Table2[[#This Row],[Opening Stock]]+Table2[[#This Row],[Internal Cutting]]+Table2[[#This Row],[Purchases]])-(Table2[[#This Row],[Sales]]+Table2[[#This Row],[External Cutting]])</f>
        <v>110</v>
      </c>
      <c r="L29">
        <f>(C29/100)*(D29/100)*(E29/100)*Table2[[#This Row],[Current Stock]]</f>
        <v>0.41250000000000009</v>
      </c>
    </row>
    <row r="30" spans="1:12" x14ac:dyDescent="0.3">
      <c r="A30" t="s">
        <v>278</v>
      </c>
      <c r="B30" t="s">
        <v>283</v>
      </c>
      <c r="C30">
        <v>10</v>
      </c>
      <c r="D30">
        <v>2.5</v>
      </c>
      <c r="E30">
        <v>180</v>
      </c>
      <c r="F30">
        <v>162</v>
      </c>
      <c r="G30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158</v>
      </c>
      <c r="H30">
        <f>SUMIFS(Table4[Quantity],Table4[Wood Type],'Inventory Movement'!A30,Table4[Product Form],'Inventory Movement'!B30,Table4[Width (cm)],'Inventory Movement'!C30,Table4[Thickness (cm)],'Inventory Movement'!D30,Table4[Length (cm)],'Inventory Movement'!E30,Table4[Movement Type],"In")</f>
        <v>40</v>
      </c>
      <c r="I30">
        <f>SUMIFS(Table4[Quantity],Table4[Wood Type],'Inventory Movement'!A30,Table4[Product Form],'Inventory Movement'!B30,Table4[Width (cm)],'Inventory Movement'!C30,Table4[Thickness (cm)],'Inventory Movement'!D30,Table4[Length (cm)],'Inventory Movement'!E30,Table4[Movement Type],"Out")</f>
        <v>0</v>
      </c>
      <c r="J30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75</v>
      </c>
      <c r="K30">
        <f>(Table2[[#This Row],[Opening Stock]]+Table2[[#This Row],[Internal Cutting]]+Table2[[#This Row],[Purchases]])-(Table2[[#This Row],[Sales]]+Table2[[#This Row],[External Cutting]])</f>
        <v>119</v>
      </c>
      <c r="L30">
        <f>(C30/100)*(D30/100)*(E30/100)*Table2[[#This Row],[Current Stock]]</f>
        <v>0.5355000000000002</v>
      </c>
    </row>
    <row r="31" spans="1:12" x14ac:dyDescent="0.3">
      <c r="A31" t="s">
        <v>280</v>
      </c>
      <c r="B31" t="s">
        <v>284</v>
      </c>
      <c r="C31">
        <v>7.5</v>
      </c>
      <c r="D31">
        <v>7.5</v>
      </c>
      <c r="E31">
        <v>300</v>
      </c>
      <c r="F31">
        <v>168</v>
      </c>
      <c r="G31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150</v>
      </c>
      <c r="H31">
        <f>SUMIFS(Table4[Quantity],Table4[Wood Type],'Inventory Movement'!A31,Table4[Product Form],'Inventory Movement'!B31,Table4[Width (cm)],'Inventory Movement'!C31,Table4[Thickness (cm)],'Inventory Movement'!D31,Table4[Length (cm)],'Inventory Movement'!E31,Table4[Movement Type],"In")</f>
        <v>0</v>
      </c>
      <c r="I31">
        <f>SUMIFS(Table4[Quantity],Table4[Wood Type],'Inventory Movement'!A31,Table4[Product Form],'Inventory Movement'!B31,Table4[Width (cm)],'Inventory Movement'!C31,Table4[Thickness (cm)],'Inventory Movement'!D31,Table4[Length (cm)],'Inventory Movement'!E31,Table4[Movement Type],"Out")</f>
        <v>0</v>
      </c>
      <c r="J31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31">
        <f>(Table2[[#This Row],[Opening Stock]]+Table2[[#This Row],[Internal Cutting]]+Table2[[#This Row],[Purchases]])-(Table2[[#This Row],[Sales]]+Table2[[#This Row],[External Cutting]])</f>
        <v>18</v>
      </c>
      <c r="L31">
        <f>(C31/100)*(D31/100)*(E31/100)*Table2[[#This Row],[Current Stock]]</f>
        <v>0.30375000000000002</v>
      </c>
    </row>
    <row r="32" spans="1:12" x14ac:dyDescent="0.3">
      <c r="A32" t="s">
        <v>280</v>
      </c>
      <c r="B32" t="s">
        <v>284</v>
      </c>
      <c r="C32">
        <v>9</v>
      </c>
      <c r="D32">
        <v>7</v>
      </c>
      <c r="E32">
        <v>300</v>
      </c>
      <c r="F32">
        <v>360</v>
      </c>
      <c r="G32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293</v>
      </c>
      <c r="H32">
        <f>SUMIFS(Table4[Quantity],Table4[Wood Type],'Inventory Movement'!A32,Table4[Product Form],'Inventory Movement'!B32,Table4[Width (cm)],'Inventory Movement'!C32,Table4[Thickness (cm)],'Inventory Movement'!D32,Table4[Length (cm)],'Inventory Movement'!E32,Table4[Movement Type],"In")</f>
        <v>0</v>
      </c>
      <c r="I32">
        <f>SUMIFS(Table4[Quantity],Table4[Wood Type],'Inventory Movement'!A32,Table4[Product Form],'Inventory Movement'!B32,Table4[Width (cm)],'Inventory Movement'!C32,Table4[Thickness (cm)],'Inventory Movement'!D32,Table4[Length (cm)],'Inventory Movement'!E32,Table4[Movement Type],"Out")</f>
        <v>0</v>
      </c>
      <c r="J32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32">
        <f>(Table2[[#This Row],[Opening Stock]]+Table2[[#This Row],[Internal Cutting]]+Table2[[#This Row],[Purchases]])-(Table2[[#This Row],[Sales]]+Table2[[#This Row],[External Cutting]])</f>
        <v>67</v>
      </c>
      <c r="L32">
        <f>(C32/100)*(D32/100)*(E32/100)*Table2[[#This Row],[Current Stock]]</f>
        <v>1.2663</v>
      </c>
    </row>
    <row r="33" spans="1:12" x14ac:dyDescent="0.3">
      <c r="A33" t="s">
        <v>281</v>
      </c>
      <c r="B33" t="s">
        <v>284</v>
      </c>
      <c r="C33">
        <v>7.5</v>
      </c>
      <c r="D33">
        <v>7.5</v>
      </c>
      <c r="E33">
        <v>270</v>
      </c>
      <c r="F33">
        <v>411</v>
      </c>
      <c r="G33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235</v>
      </c>
      <c r="H33">
        <f>SUMIFS(Table4[Quantity],Table4[Wood Type],'Inventory Movement'!A33,Table4[Product Form],'Inventory Movement'!B33,Table4[Width (cm)],'Inventory Movement'!C33,Table4[Thickness (cm)],'Inventory Movement'!D33,Table4[Length (cm)],'Inventory Movement'!E33,Table4[Movement Type],"In")</f>
        <v>0</v>
      </c>
      <c r="I33">
        <f>SUMIFS(Table4[Quantity],Table4[Wood Type],'Inventory Movement'!A33,Table4[Product Form],'Inventory Movement'!B33,Table4[Width (cm)],'Inventory Movement'!C33,Table4[Thickness (cm)],'Inventory Movement'!D33,Table4[Length (cm)],'Inventory Movement'!E33,Table4[Movement Type],"Out")</f>
        <v>0</v>
      </c>
      <c r="J33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33">
        <f>(Table2[[#This Row],[Opening Stock]]+Table2[[#This Row],[Internal Cutting]]+Table2[[#This Row],[Purchases]])-(Table2[[#This Row],[Sales]]+Table2[[#This Row],[External Cutting]])</f>
        <v>176</v>
      </c>
      <c r="L33">
        <f>(C33/100)*(D33/100)*(E33/100)*Table2[[#This Row],[Current Stock]]</f>
        <v>2.673</v>
      </c>
    </row>
    <row r="34" spans="1:12" x14ac:dyDescent="0.3">
      <c r="A34" t="s">
        <v>281</v>
      </c>
      <c r="B34" t="s">
        <v>284</v>
      </c>
      <c r="C34">
        <v>7.5</v>
      </c>
      <c r="D34">
        <v>7.5</v>
      </c>
      <c r="E34">
        <v>300</v>
      </c>
      <c r="F34">
        <v>46</v>
      </c>
      <c r="G34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46</v>
      </c>
      <c r="H34">
        <f>SUMIFS(Table4[Quantity],Table4[Wood Type],'Inventory Movement'!A34,Table4[Product Form],'Inventory Movement'!B34,Table4[Width (cm)],'Inventory Movement'!C34,Table4[Thickness (cm)],'Inventory Movement'!D34,Table4[Length (cm)],'Inventory Movement'!E34,Table4[Movement Type],"In")</f>
        <v>0</v>
      </c>
      <c r="I34">
        <f>SUMIFS(Table4[Quantity],Table4[Wood Type],'Inventory Movement'!A34,Table4[Product Form],'Inventory Movement'!B34,Table4[Width (cm)],'Inventory Movement'!C34,Table4[Thickness (cm)],'Inventory Movement'!D34,Table4[Length (cm)],'Inventory Movement'!E34,Table4[Movement Type],"Out")</f>
        <v>0</v>
      </c>
      <c r="J34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34">
        <f>(Table2[[#This Row],[Opening Stock]]+Table2[[#This Row],[Internal Cutting]]+Table2[[#This Row],[Purchases]])-(Table2[[#This Row],[Sales]]+Table2[[#This Row],[External Cutting]])</f>
        <v>0</v>
      </c>
      <c r="L34">
        <f>(C34/100)*(D34/100)*(E34/100)*Table2[[#This Row],[Current Stock]]</f>
        <v>0</v>
      </c>
    </row>
    <row r="35" spans="1:12" x14ac:dyDescent="0.3">
      <c r="A35" t="s">
        <v>278</v>
      </c>
      <c r="B35" t="s">
        <v>282</v>
      </c>
      <c r="C35">
        <v>10</v>
      </c>
      <c r="D35">
        <v>2.5</v>
      </c>
      <c r="E35">
        <v>300</v>
      </c>
      <c r="F35">
        <v>0</v>
      </c>
      <c r="G35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807</v>
      </c>
      <c r="H35">
        <f>SUMIFS(Table4[Quantity],Table4[Wood Type],'Inventory Movement'!A35,Table4[Product Form],'Inventory Movement'!B35,Table4[Width (cm)],'Inventory Movement'!C35,Table4[Thickness (cm)],'Inventory Movement'!D35,Table4[Length (cm)],'Inventory Movement'!E35,Table4[Movement Type],"In")</f>
        <v>40</v>
      </c>
      <c r="I35">
        <f>SUMIFS(Table4[Quantity],Table4[Wood Type],'Inventory Movement'!A35,Table4[Product Form],'Inventory Movement'!B35,Table4[Width (cm)],'Inventory Movement'!C35,Table4[Thickness (cm)],'Inventory Movement'!D35,Table4[Length (cm)],'Inventory Movement'!E35,Table4[Movement Type],"Out")</f>
        <v>0</v>
      </c>
      <c r="J35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133</v>
      </c>
      <c r="K35">
        <f>(Table2[[#This Row],[Opening Stock]]+Table2[[#This Row],[Internal Cutting]]+Table2[[#This Row],[Purchases]])-(Table2[[#This Row],[Sales]]+Table2[[#This Row],[External Cutting]])</f>
        <v>-634</v>
      </c>
      <c r="L35">
        <f>(C35/100)*(D35/100)*(E35/100)*Table2[[#This Row],[Current Stock]]</f>
        <v>-4.7550000000000008</v>
      </c>
    </row>
    <row r="36" spans="1:12" x14ac:dyDescent="0.3">
      <c r="A36" t="s">
        <v>278</v>
      </c>
      <c r="B36" t="s">
        <v>282</v>
      </c>
      <c r="C36">
        <v>10</v>
      </c>
      <c r="D36">
        <v>2.5</v>
      </c>
      <c r="E36">
        <v>330</v>
      </c>
      <c r="F36">
        <v>121</v>
      </c>
      <c r="G36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828</v>
      </c>
      <c r="H36">
        <f>SUMIFS(Table4[Quantity],Table4[Wood Type],'Inventory Movement'!A36,Table4[Product Form],'Inventory Movement'!B36,Table4[Width (cm)],'Inventory Movement'!C36,Table4[Thickness (cm)],'Inventory Movement'!D36,Table4[Length (cm)],'Inventory Movement'!E36,Table4[Movement Type],"In")</f>
        <v>0</v>
      </c>
      <c r="I36">
        <f>SUMIFS(Table4[Quantity],Table4[Wood Type],'Inventory Movement'!A36,Table4[Product Form],'Inventory Movement'!B36,Table4[Width (cm)],'Inventory Movement'!C36,Table4[Thickness (cm)],'Inventory Movement'!D36,Table4[Length (cm)],'Inventory Movement'!E36,Table4[Movement Type],"Out")</f>
        <v>0</v>
      </c>
      <c r="J36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202</v>
      </c>
      <c r="K36">
        <f>(Table2[[#This Row],[Opening Stock]]+Table2[[#This Row],[Internal Cutting]]+Table2[[#This Row],[Purchases]])-(Table2[[#This Row],[Sales]]+Table2[[#This Row],[External Cutting]])</f>
        <v>-505</v>
      </c>
      <c r="L36">
        <f>(C36/100)*(D36/100)*(E36/100)*Table2[[#This Row],[Current Stock]]</f>
        <v>-4.1662499999999998</v>
      </c>
    </row>
    <row r="37" spans="1:12" x14ac:dyDescent="0.3">
      <c r="A37" t="s">
        <v>278</v>
      </c>
      <c r="B37" t="s">
        <v>282</v>
      </c>
      <c r="C37">
        <v>10</v>
      </c>
      <c r="D37">
        <v>2.5</v>
      </c>
      <c r="E37">
        <v>360</v>
      </c>
      <c r="F37">
        <v>0</v>
      </c>
      <c r="G37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634</v>
      </c>
      <c r="H37">
        <f>SUMIFS(Table4[Quantity],Table4[Wood Type],'Inventory Movement'!A37,Table4[Product Form],'Inventory Movement'!B37,Table4[Width (cm)],'Inventory Movement'!C37,Table4[Thickness (cm)],'Inventory Movement'!D37,Table4[Length (cm)],'Inventory Movement'!E37,Table4[Movement Type],"In")</f>
        <v>0</v>
      </c>
      <c r="I37">
        <f>SUMIFS(Table4[Quantity],Table4[Wood Type],'Inventory Movement'!A37,Table4[Product Form],'Inventory Movement'!B37,Table4[Width (cm)],'Inventory Movement'!C37,Table4[Thickness (cm)],'Inventory Movement'!D37,Table4[Length (cm)],'Inventory Movement'!E37,Table4[Movement Type],"Out")</f>
        <v>0</v>
      </c>
      <c r="J37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963</v>
      </c>
      <c r="K37">
        <f>(Table2[[#This Row],[Opening Stock]]+Table2[[#This Row],[Internal Cutting]]+Table2[[#This Row],[Purchases]])-(Table2[[#This Row],[Sales]]+Table2[[#This Row],[External Cutting]])</f>
        <v>329</v>
      </c>
      <c r="L37">
        <f>(C37/100)*(D37/100)*(E37/100)*Table2[[#This Row],[Current Stock]]</f>
        <v>2.9610000000000007</v>
      </c>
    </row>
    <row r="38" spans="1:12" x14ac:dyDescent="0.3">
      <c r="A38" t="s">
        <v>278</v>
      </c>
      <c r="B38" t="s">
        <v>282</v>
      </c>
      <c r="C38">
        <v>10</v>
      </c>
      <c r="D38">
        <v>2.5</v>
      </c>
      <c r="E38">
        <v>390</v>
      </c>
      <c r="F38">
        <v>132</v>
      </c>
      <c r="G38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438</v>
      </c>
      <c r="H38">
        <f>SUMIFS(Table4[Quantity],Table4[Wood Type],'Inventory Movement'!A38,Table4[Product Form],'Inventory Movement'!B38,Table4[Width (cm)],'Inventory Movement'!C38,Table4[Thickness (cm)],'Inventory Movement'!D38,Table4[Length (cm)],'Inventory Movement'!E38,Table4[Movement Type],"In")</f>
        <v>0</v>
      </c>
      <c r="I38">
        <f>SUMIFS(Table4[Quantity],Table4[Wood Type],'Inventory Movement'!A38,Table4[Product Form],'Inventory Movement'!B38,Table4[Width (cm)],'Inventory Movement'!C38,Table4[Thickness (cm)],'Inventory Movement'!D38,Table4[Length (cm)],'Inventory Movement'!E38,Table4[Movement Type],"Out")</f>
        <v>0</v>
      </c>
      <c r="J38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707</v>
      </c>
      <c r="K38">
        <f>(Table2[[#This Row],[Opening Stock]]+Table2[[#This Row],[Internal Cutting]]+Table2[[#This Row],[Purchases]])-(Table2[[#This Row],[Sales]]+Table2[[#This Row],[External Cutting]])</f>
        <v>401</v>
      </c>
      <c r="L38">
        <f>(C38/100)*(D38/100)*(E38/100)*Table2[[#This Row],[Current Stock]]</f>
        <v>3.9097500000000007</v>
      </c>
    </row>
    <row r="39" spans="1:12" x14ac:dyDescent="0.3">
      <c r="A39" t="s">
        <v>278</v>
      </c>
      <c r="B39" t="s">
        <v>282</v>
      </c>
      <c r="C39">
        <v>10</v>
      </c>
      <c r="D39">
        <v>2.5</v>
      </c>
      <c r="E39">
        <v>420</v>
      </c>
      <c r="F39">
        <v>75</v>
      </c>
      <c r="G39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548</v>
      </c>
      <c r="H39">
        <f>SUMIFS(Table4[Quantity],Table4[Wood Type],'Inventory Movement'!A39,Table4[Product Form],'Inventory Movement'!B39,Table4[Width (cm)],'Inventory Movement'!C39,Table4[Thickness (cm)],'Inventory Movement'!D39,Table4[Length (cm)],'Inventory Movement'!E39,Table4[Movement Type],"In")</f>
        <v>0</v>
      </c>
      <c r="I39">
        <f>SUMIFS(Table4[Quantity],Table4[Wood Type],'Inventory Movement'!A39,Table4[Product Form],'Inventory Movement'!B39,Table4[Width (cm)],'Inventory Movement'!C39,Table4[Thickness (cm)],'Inventory Movement'!D39,Table4[Length (cm)],'Inventory Movement'!E39,Table4[Movement Type],"Out")</f>
        <v>5</v>
      </c>
      <c r="J39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733</v>
      </c>
      <c r="K39">
        <f>(Table2[[#This Row],[Opening Stock]]+Table2[[#This Row],[Internal Cutting]]+Table2[[#This Row],[Purchases]])-(Table2[[#This Row],[Sales]]+Table2[[#This Row],[External Cutting]])</f>
        <v>255</v>
      </c>
      <c r="L39">
        <f>(C39/100)*(D39/100)*(E39/100)*Table2[[#This Row],[Current Stock]]</f>
        <v>2.6775000000000007</v>
      </c>
    </row>
    <row r="40" spans="1:12" x14ac:dyDescent="0.3">
      <c r="A40" t="s">
        <v>278</v>
      </c>
      <c r="B40" t="s">
        <v>282</v>
      </c>
      <c r="C40">
        <v>10</v>
      </c>
      <c r="D40">
        <v>2.5</v>
      </c>
      <c r="E40">
        <v>450</v>
      </c>
      <c r="F40">
        <v>68</v>
      </c>
      <c r="G40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366</v>
      </c>
      <c r="H40">
        <f>SUMIFS(Table4[Quantity],Table4[Wood Type],'Inventory Movement'!A40,Table4[Product Form],'Inventory Movement'!B40,Table4[Width (cm)],'Inventory Movement'!C40,Table4[Thickness (cm)],'Inventory Movement'!D40,Table4[Length (cm)],'Inventory Movement'!E40,Table4[Movement Type],"In")</f>
        <v>0</v>
      </c>
      <c r="I40">
        <f>SUMIFS(Table4[Quantity],Table4[Wood Type],'Inventory Movement'!A40,Table4[Product Form],'Inventory Movement'!B40,Table4[Width (cm)],'Inventory Movement'!C40,Table4[Thickness (cm)],'Inventory Movement'!D40,Table4[Length (cm)],'Inventory Movement'!E40,Table4[Movement Type],"Out")</f>
        <v>0</v>
      </c>
      <c r="J40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719</v>
      </c>
      <c r="K40">
        <f>(Table2[[#This Row],[Opening Stock]]+Table2[[#This Row],[Internal Cutting]]+Table2[[#This Row],[Purchases]])-(Table2[[#This Row],[Sales]]+Table2[[#This Row],[External Cutting]])</f>
        <v>421</v>
      </c>
      <c r="L40">
        <f>(C40/100)*(D40/100)*(E40/100)*Table2[[#This Row],[Current Stock]]</f>
        <v>4.736250000000001</v>
      </c>
    </row>
    <row r="41" spans="1:12" x14ac:dyDescent="0.3">
      <c r="A41" t="s">
        <v>278</v>
      </c>
      <c r="B41" t="s">
        <v>282</v>
      </c>
      <c r="C41">
        <v>10</v>
      </c>
      <c r="D41">
        <v>2.5</v>
      </c>
      <c r="E41">
        <v>480</v>
      </c>
      <c r="F41">
        <v>30</v>
      </c>
      <c r="G41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212</v>
      </c>
      <c r="H41">
        <f>SUMIFS(Table4[Quantity],Table4[Wood Type],'Inventory Movement'!A41,Table4[Product Form],'Inventory Movement'!B41,Table4[Width (cm)],'Inventory Movement'!C41,Table4[Thickness (cm)],'Inventory Movement'!D41,Table4[Length (cm)],'Inventory Movement'!E41,Table4[Movement Type],"In")</f>
        <v>0</v>
      </c>
      <c r="I41">
        <f>SUMIFS(Table4[Quantity],Table4[Wood Type],'Inventory Movement'!A41,Table4[Product Form],'Inventory Movement'!B41,Table4[Width (cm)],'Inventory Movement'!C41,Table4[Thickness (cm)],'Inventory Movement'!D41,Table4[Length (cm)],'Inventory Movement'!E41,Table4[Movement Type],"Out")</f>
        <v>46</v>
      </c>
      <c r="J41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349</v>
      </c>
      <c r="K41">
        <f>(Table2[[#This Row],[Opening Stock]]+Table2[[#This Row],[Internal Cutting]]+Table2[[#This Row],[Purchases]])-(Table2[[#This Row],[Sales]]+Table2[[#This Row],[External Cutting]])</f>
        <v>121</v>
      </c>
      <c r="L41">
        <f>(C41/100)*(D41/100)*(E41/100)*Table2[[#This Row],[Current Stock]]</f>
        <v>1.4520000000000002</v>
      </c>
    </row>
    <row r="42" spans="1:12" x14ac:dyDescent="0.3">
      <c r="A42" t="s">
        <v>278</v>
      </c>
      <c r="B42" t="s">
        <v>282</v>
      </c>
      <c r="C42">
        <v>10</v>
      </c>
      <c r="D42">
        <v>2.5</v>
      </c>
      <c r="E42">
        <v>510</v>
      </c>
      <c r="F42">
        <v>83</v>
      </c>
      <c r="G42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191</v>
      </c>
      <c r="H42">
        <f>SUMIFS(Table4[Quantity],Table4[Wood Type],'Inventory Movement'!A42,Table4[Product Form],'Inventory Movement'!B42,Table4[Width (cm)],'Inventory Movement'!C42,Table4[Thickness (cm)],'Inventory Movement'!D42,Table4[Length (cm)],'Inventory Movement'!E42,Table4[Movement Type],"In")</f>
        <v>0</v>
      </c>
      <c r="I42">
        <f>SUMIFS(Table4[Quantity],Table4[Wood Type],'Inventory Movement'!A42,Table4[Product Form],'Inventory Movement'!B42,Table4[Width (cm)],'Inventory Movement'!C42,Table4[Thickness (cm)],'Inventory Movement'!D42,Table4[Length (cm)],'Inventory Movement'!E42,Table4[Movement Type],"Out")</f>
        <v>0</v>
      </c>
      <c r="J42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571</v>
      </c>
      <c r="K42">
        <f>(Table2[[#This Row],[Opening Stock]]+Table2[[#This Row],[Internal Cutting]]+Table2[[#This Row],[Purchases]])-(Table2[[#This Row],[Sales]]+Table2[[#This Row],[External Cutting]])</f>
        <v>463</v>
      </c>
      <c r="L42">
        <f>(C42/100)*(D42/100)*(E42/100)*Table2[[#This Row],[Current Stock]]</f>
        <v>5.9032500000000008</v>
      </c>
    </row>
    <row r="43" spans="1:12" x14ac:dyDescent="0.3">
      <c r="A43" t="s">
        <v>278</v>
      </c>
      <c r="B43" t="s">
        <v>282</v>
      </c>
      <c r="C43">
        <v>10</v>
      </c>
      <c r="D43">
        <v>2.5</v>
      </c>
      <c r="E43">
        <v>540</v>
      </c>
      <c r="F43">
        <v>0</v>
      </c>
      <c r="G43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261</v>
      </c>
      <c r="H43">
        <f>SUMIFS(Table4[Quantity],Table4[Wood Type],'Inventory Movement'!A43,Table4[Product Form],'Inventory Movement'!B43,Table4[Width (cm)],'Inventory Movement'!C43,Table4[Thickness (cm)],'Inventory Movement'!D43,Table4[Length (cm)],'Inventory Movement'!E43,Table4[Movement Type],"In")</f>
        <v>0</v>
      </c>
      <c r="I43">
        <f>SUMIFS(Table4[Quantity],Table4[Wood Type],'Inventory Movement'!A43,Table4[Product Form],'Inventory Movement'!B43,Table4[Width (cm)],'Inventory Movement'!C43,Table4[Thickness (cm)],'Inventory Movement'!D43,Table4[Length (cm)],'Inventory Movement'!E43,Table4[Movement Type],"Out")</f>
        <v>89</v>
      </c>
      <c r="J43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623</v>
      </c>
      <c r="K43">
        <f>(Table2[[#This Row],[Opening Stock]]+Table2[[#This Row],[Internal Cutting]]+Table2[[#This Row],[Purchases]])-(Table2[[#This Row],[Sales]]+Table2[[#This Row],[External Cutting]])</f>
        <v>273</v>
      </c>
      <c r="L43">
        <f>(C43/100)*(D43/100)*(E43/100)*Table2[[#This Row],[Current Stock]]</f>
        <v>3.6855000000000011</v>
      </c>
    </row>
    <row r="44" spans="1:12" x14ac:dyDescent="0.3">
      <c r="A44" t="s">
        <v>278</v>
      </c>
      <c r="B44" t="s">
        <v>282</v>
      </c>
      <c r="C44">
        <v>10</v>
      </c>
      <c r="D44">
        <v>2.5</v>
      </c>
      <c r="E44">
        <v>570</v>
      </c>
      <c r="F44">
        <v>0</v>
      </c>
      <c r="G44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44">
        <f>SUMIFS(Table4[Quantity],Table4[Wood Type],'Inventory Movement'!A44,Table4[Product Form],'Inventory Movement'!B44,Table4[Width (cm)],'Inventory Movement'!C44,Table4[Thickness (cm)],'Inventory Movement'!D44,Table4[Length (cm)],'Inventory Movement'!E44,Table4[Movement Type],"In")</f>
        <v>0</v>
      </c>
      <c r="I44">
        <f>SUMIFS(Table4[Quantity],Table4[Wood Type],'Inventory Movement'!A44,Table4[Product Form],'Inventory Movement'!B44,Table4[Width (cm)],'Inventory Movement'!C44,Table4[Thickness (cm)],'Inventory Movement'!D44,Table4[Length (cm)],'Inventory Movement'!E44,Table4[Movement Type],"Out")</f>
        <v>0</v>
      </c>
      <c r="J44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44">
        <f>(Table2[[#This Row],[Opening Stock]]+Table2[[#This Row],[Internal Cutting]]+Table2[[#This Row],[Purchases]])-(Table2[[#This Row],[Sales]]+Table2[[#This Row],[External Cutting]])</f>
        <v>0</v>
      </c>
      <c r="L44">
        <f>(C44/100)*(D44/100)*(E44/100)*Table2[[#This Row],[Current Stock]]</f>
        <v>0</v>
      </c>
    </row>
    <row r="45" spans="1:12" x14ac:dyDescent="0.3">
      <c r="A45" t="s">
        <v>278</v>
      </c>
      <c r="B45" t="s">
        <v>282</v>
      </c>
      <c r="C45">
        <v>10</v>
      </c>
      <c r="D45">
        <v>2.5</v>
      </c>
      <c r="E45">
        <v>600</v>
      </c>
      <c r="F45">
        <v>60</v>
      </c>
      <c r="G45">
        <f>SUMIFS(Table1[Quantity],Table1[Wood Type],Table2[[#This Row],[Wood Type]],Table1[Category],Table2[[#This Row],[Product Form]],Table1[Width (cm)],Table2[[#This Row],[Width (cm)]],Table1[Thickness (cm)],Table2[[#This Row],[Thickness (cm)]],Table1[Length (cm)],Table2[[#This Row],[Length (cm)]])</f>
        <v>0</v>
      </c>
      <c r="H45">
        <f>SUMIFS(Table4[Quantity],Table4[Wood Type],'Inventory Movement'!A45,Table4[Product Form],'Inventory Movement'!B45,Table4[Width (cm)],'Inventory Movement'!C45,Table4[Thickness (cm)],'Inventory Movement'!D45,Table4[Length (cm)],'Inventory Movement'!E45,Table4[Movement Type],"In")</f>
        <v>0</v>
      </c>
      <c r="I45">
        <f>SUMIFS(Table4[Quantity],Table4[Wood Type],'Inventory Movement'!A45,Table4[Product Form],'Inventory Movement'!B45,Table4[Width (cm)],'Inventory Movement'!C45,Table4[Thickness (cm)],'Inventory Movement'!D45,Table4[Length (cm)],'Inventory Movement'!E45,Table4[Movement Type],"Out")</f>
        <v>0</v>
      </c>
      <c r="J45">
        <f>SUMIFS(Table5[Quantity],Table5[Wood Type],Table2[[#This Row],[Wood Type]],Table5[Product Form],Table2[[#This Row],[Product Form]],Table5[Width (cm)],Table2[[#This Row],[Width (cm)]],Table5[Thickness (cm)],Table2[[#This Row],[Thickness (cm)]],Table5[Length (cm)],Table2[[#This Row],[Length (cm)]],Table5[Date],"&gt;"&amp;DATE(2026,6,5))</f>
        <v>0</v>
      </c>
      <c r="K45">
        <f>(Table2[[#This Row],[Opening Stock]]+Table2[[#This Row],[Internal Cutting]]+Table2[[#This Row],[Purchases]])-(Table2[[#This Row],[Sales]]+Table2[[#This Row],[External Cutting]])</f>
        <v>60</v>
      </c>
      <c r="L45">
        <f>(C45/100)*(D45/100)*(E45/100)*Table2[[#This Row],[Current Stock]]</f>
        <v>0.90000000000000013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D988-3156-0F4A-B1FF-FB781A7F4EC3}">
  <dimension ref="A1:E143"/>
  <sheetViews>
    <sheetView topLeftCell="A98" zoomScaleNormal="100" zoomScaleSheetLayoutView="100" workbookViewId="0">
      <selection activeCell="G141" sqref="G141"/>
    </sheetView>
  </sheetViews>
  <sheetFormatPr defaultRowHeight="14.4" x14ac:dyDescent="0.3"/>
  <cols>
    <col min="1" max="1" width="10.6640625" bestFit="1" customWidth="1"/>
    <col min="2" max="2" width="14.88671875" bestFit="1" customWidth="1"/>
    <col min="3" max="3" width="14.88671875" customWidth="1"/>
    <col min="4" max="4" width="16" bestFit="1" customWidth="1"/>
    <col min="5" max="5" width="15" bestFit="1" customWidth="1"/>
    <col min="6" max="6" width="10.33203125" customWidth="1"/>
  </cols>
  <sheetData>
    <row r="1" spans="1:5" x14ac:dyDescent="0.3">
      <c r="A1" t="s">
        <v>176</v>
      </c>
      <c r="B1" t="s">
        <v>177</v>
      </c>
      <c r="C1" t="s">
        <v>178</v>
      </c>
      <c r="D1" t="s">
        <v>198</v>
      </c>
      <c r="E1" t="s">
        <v>199</v>
      </c>
    </row>
    <row r="2" spans="1:5" x14ac:dyDescent="0.3">
      <c r="A2" s="1">
        <v>46175</v>
      </c>
      <c r="B2" t="s">
        <v>224</v>
      </c>
      <c r="C2" t="str">
        <f>_xlfn.XLOOKUP(B2,'Customer Receivables'!A:A,'Customer Receivables'!B:B," ")</f>
        <v>C-007</v>
      </c>
      <c r="D2">
        <v>10000</v>
      </c>
      <c r="E2" t="s">
        <v>291</v>
      </c>
    </row>
    <row r="3" spans="1:5" x14ac:dyDescent="0.3">
      <c r="A3" s="1">
        <v>46177</v>
      </c>
      <c r="B3" t="s">
        <v>240</v>
      </c>
      <c r="C3" t="str">
        <f>_xlfn.XLOOKUP(B3,'Customer Receivables'!A:A,'Customer Receivables'!B:B," ")</f>
        <v>C-027</v>
      </c>
      <c r="D3">
        <v>5000</v>
      </c>
      <c r="E3" t="s">
        <v>291</v>
      </c>
    </row>
    <row r="4" spans="1:5" x14ac:dyDescent="0.3">
      <c r="A4" s="1">
        <v>46177</v>
      </c>
      <c r="B4" t="s">
        <v>274</v>
      </c>
      <c r="C4" t="str">
        <f>_xlfn.XLOOKUP(B4,'Customer Receivables'!A:A,'Customer Receivables'!B:B," ")</f>
        <v>C-031</v>
      </c>
      <c r="D4">
        <v>10000</v>
      </c>
      <c r="E4" t="s">
        <v>291</v>
      </c>
    </row>
    <row r="5" spans="1:5" x14ac:dyDescent="0.3">
      <c r="A5" s="1">
        <v>46177</v>
      </c>
      <c r="B5" t="s">
        <v>244</v>
      </c>
      <c r="C5" t="str">
        <f>_xlfn.XLOOKUP(B5,'Customer Receivables'!A:A,'Customer Receivables'!B:B," ")</f>
        <v>C-034</v>
      </c>
      <c r="D5">
        <v>5000</v>
      </c>
      <c r="E5" t="s">
        <v>291</v>
      </c>
    </row>
    <row r="6" spans="1:5" x14ac:dyDescent="0.3">
      <c r="A6" s="1">
        <v>46177</v>
      </c>
      <c r="B6" t="s">
        <v>273</v>
      </c>
      <c r="C6" t="str">
        <f>_xlfn.XLOOKUP(B6,'Customer Receivables'!A:A,'Customer Receivables'!B:B," ")</f>
        <v>C-029</v>
      </c>
      <c r="D6">
        <v>5000</v>
      </c>
      <c r="E6" t="s">
        <v>291</v>
      </c>
    </row>
    <row r="7" spans="1:5" x14ac:dyDescent="0.3">
      <c r="A7" s="1">
        <v>46177</v>
      </c>
      <c r="B7" t="s">
        <v>242</v>
      </c>
      <c r="C7" t="str">
        <f>_xlfn.XLOOKUP(B7,'Customer Receivables'!A:A,'Customer Receivables'!B:B," ")</f>
        <v>C-032</v>
      </c>
      <c r="D7">
        <v>9000</v>
      </c>
      <c r="E7" t="s">
        <v>291</v>
      </c>
    </row>
    <row r="8" spans="1:5" x14ac:dyDescent="0.3">
      <c r="A8" s="1">
        <v>46177</v>
      </c>
      <c r="B8" t="s">
        <v>266</v>
      </c>
      <c r="C8" t="str">
        <f>_xlfn.XLOOKUP(B8,'Customer Receivables'!A:A,'Customer Receivables'!B:B," ")</f>
        <v>C-004</v>
      </c>
      <c r="D8">
        <v>15000</v>
      </c>
      <c r="E8" t="s">
        <v>291</v>
      </c>
    </row>
    <row r="9" spans="1:5" x14ac:dyDescent="0.3">
      <c r="A9" s="1">
        <v>46177</v>
      </c>
      <c r="B9" t="s">
        <v>224</v>
      </c>
      <c r="C9" t="str">
        <f>_xlfn.XLOOKUP(B9,'Customer Receivables'!A:A,'Customer Receivables'!B:B," ")</f>
        <v>C-007</v>
      </c>
      <c r="D9">
        <v>10000</v>
      </c>
      <c r="E9" t="s">
        <v>291</v>
      </c>
    </row>
    <row r="10" spans="1:5" x14ac:dyDescent="0.3">
      <c r="A10" s="1">
        <v>46177</v>
      </c>
      <c r="B10" t="s">
        <v>224</v>
      </c>
      <c r="C10" t="str">
        <f>_xlfn.XLOOKUP(B10,'Customer Receivables'!A:A,'Customer Receivables'!B:B," ")</f>
        <v>C-007</v>
      </c>
      <c r="D10">
        <v>40200</v>
      </c>
      <c r="E10" t="s">
        <v>291</v>
      </c>
    </row>
    <row r="11" spans="1:5" x14ac:dyDescent="0.3">
      <c r="A11" s="1">
        <v>46180</v>
      </c>
      <c r="B11" t="s">
        <v>224</v>
      </c>
      <c r="C11" t="str">
        <f>_xlfn.XLOOKUP(B11,'Customer Receivables'!A:A,'Customer Receivables'!B:B," ")</f>
        <v>C-007</v>
      </c>
      <c r="D11">
        <v>10000</v>
      </c>
      <c r="E11" t="s">
        <v>291</v>
      </c>
    </row>
    <row r="12" spans="1:5" x14ac:dyDescent="0.3">
      <c r="A12" s="1">
        <v>46182</v>
      </c>
      <c r="B12" t="s">
        <v>224</v>
      </c>
      <c r="C12" t="str">
        <f>_xlfn.XLOOKUP(B12,'Customer Receivables'!A:A,'Customer Receivables'!B:B," ")</f>
        <v>C-007</v>
      </c>
      <c r="D12">
        <v>10000</v>
      </c>
      <c r="E12" t="s">
        <v>291</v>
      </c>
    </row>
    <row r="13" spans="1:5" x14ac:dyDescent="0.3">
      <c r="A13" s="1">
        <v>46182</v>
      </c>
      <c r="B13" t="s">
        <v>267</v>
      </c>
      <c r="C13" t="str">
        <f>_xlfn.XLOOKUP(B13,'Customer Receivables'!A:A,'Customer Receivables'!B:B," ")</f>
        <v>C-006</v>
      </c>
      <c r="D13">
        <v>2350</v>
      </c>
      <c r="E13" t="s">
        <v>291</v>
      </c>
    </row>
    <row r="14" spans="1:5" x14ac:dyDescent="0.3">
      <c r="A14" s="1">
        <v>46183</v>
      </c>
      <c r="B14" t="s">
        <v>240</v>
      </c>
      <c r="C14" t="str">
        <f>_xlfn.XLOOKUP(B14,'Customer Receivables'!A:A,'Customer Receivables'!B:B," ")</f>
        <v>C-027</v>
      </c>
      <c r="D14">
        <v>30000</v>
      </c>
      <c r="E14" t="s">
        <v>291</v>
      </c>
    </row>
    <row r="15" spans="1:5" x14ac:dyDescent="0.3">
      <c r="A15" s="1">
        <v>46184</v>
      </c>
      <c r="B15" t="s">
        <v>273</v>
      </c>
      <c r="C15" t="str">
        <f>_xlfn.XLOOKUP(B15,'Customer Receivables'!A:A,'Customer Receivables'!B:B," ")</f>
        <v>C-029</v>
      </c>
      <c r="D15">
        <v>5000</v>
      </c>
      <c r="E15" t="s">
        <v>291</v>
      </c>
    </row>
    <row r="16" spans="1:5" x14ac:dyDescent="0.3">
      <c r="A16" s="1">
        <v>46184</v>
      </c>
      <c r="B16" t="s">
        <v>243</v>
      </c>
      <c r="C16" t="str">
        <f>_xlfn.XLOOKUP(B16,'Customer Receivables'!A:A,'Customer Receivables'!B:B," ")</f>
        <v>C-033</v>
      </c>
      <c r="D16">
        <v>6000</v>
      </c>
      <c r="E16" t="s">
        <v>291</v>
      </c>
    </row>
    <row r="17" spans="1:5" x14ac:dyDescent="0.3">
      <c r="A17" s="1">
        <v>46184</v>
      </c>
      <c r="B17" t="s">
        <v>267</v>
      </c>
      <c r="C17" t="str">
        <f>_xlfn.XLOOKUP(B17,'Customer Receivables'!A:A,'Customer Receivables'!B:B," ")</f>
        <v>C-006</v>
      </c>
      <c r="D17">
        <v>10150</v>
      </c>
      <c r="E17" t="s">
        <v>291</v>
      </c>
    </row>
    <row r="18" spans="1:5" x14ac:dyDescent="0.3">
      <c r="A18" s="1">
        <v>46185</v>
      </c>
      <c r="B18" t="s">
        <v>224</v>
      </c>
      <c r="C18" t="str">
        <f>_xlfn.XLOOKUP(B18,'Customer Receivables'!A:A,'Customer Receivables'!B:B," ")</f>
        <v>C-007</v>
      </c>
      <c r="D18">
        <v>10000</v>
      </c>
      <c r="E18" t="s">
        <v>291</v>
      </c>
    </row>
    <row r="19" spans="1:5" x14ac:dyDescent="0.3">
      <c r="A19" s="1">
        <v>46187</v>
      </c>
      <c r="B19" t="s">
        <v>266</v>
      </c>
      <c r="C19" t="str">
        <f>_xlfn.XLOOKUP(B19,'Customer Receivables'!A:A,'Customer Receivables'!B:B," ")</f>
        <v>C-004</v>
      </c>
      <c r="D19">
        <v>1000</v>
      </c>
      <c r="E19" t="s">
        <v>291</v>
      </c>
    </row>
    <row r="20" spans="1:5" x14ac:dyDescent="0.3">
      <c r="A20" s="1">
        <v>46188</v>
      </c>
      <c r="B20" t="s">
        <v>267</v>
      </c>
      <c r="C20" t="str">
        <f>_xlfn.XLOOKUP(B20,'Customer Receivables'!A:A,'Customer Receivables'!B:B," ")</f>
        <v>C-006</v>
      </c>
      <c r="D20">
        <v>5000</v>
      </c>
      <c r="E20" t="s">
        <v>291</v>
      </c>
    </row>
    <row r="21" spans="1:5" x14ac:dyDescent="0.3">
      <c r="A21" s="1">
        <v>46188</v>
      </c>
      <c r="B21" t="s">
        <v>266</v>
      </c>
      <c r="C21" t="str">
        <f>_xlfn.XLOOKUP(B21,'Customer Receivables'!A:A,'Customer Receivables'!B:B," ")</f>
        <v>C-004</v>
      </c>
      <c r="D21">
        <v>3000</v>
      </c>
      <c r="E21" t="s">
        <v>291</v>
      </c>
    </row>
    <row r="22" spans="1:5" x14ac:dyDescent="0.3">
      <c r="A22" s="1">
        <v>46188</v>
      </c>
      <c r="B22" t="s">
        <v>240</v>
      </c>
      <c r="C22" t="str">
        <f>_xlfn.XLOOKUP(B22,'Customer Receivables'!A:A,'Customer Receivables'!B:B," ")</f>
        <v>C-027</v>
      </c>
      <c r="D22">
        <v>10000</v>
      </c>
      <c r="E22" t="s">
        <v>291</v>
      </c>
    </row>
    <row r="23" spans="1:5" x14ac:dyDescent="0.3">
      <c r="A23" s="1">
        <v>46188</v>
      </c>
      <c r="B23" t="s">
        <v>272</v>
      </c>
      <c r="C23" t="str">
        <f>_xlfn.XLOOKUP(B23,'Customer Receivables'!A:A,'Customer Receivables'!B:B," ")</f>
        <v>C-026</v>
      </c>
      <c r="D23">
        <v>9000</v>
      </c>
      <c r="E23" t="s">
        <v>291</v>
      </c>
    </row>
    <row r="24" spans="1:5" x14ac:dyDescent="0.3">
      <c r="A24" s="1">
        <v>46189</v>
      </c>
      <c r="B24" t="s">
        <v>224</v>
      </c>
      <c r="C24" t="str">
        <f>_xlfn.XLOOKUP(B24,'Customer Receivables'!A:A,'Customer Receivables'!B:B," ")</f>
        <v>C-007</v>
      </c>
      <c r="D24">
        <v>10000</v>
      </c>
      <c r="E24" t="s">
        <v>291</v>
      </c>
    </row>
    <row r="25" spans="1:5" x14ac:dyDescent="0.3">
      <c r="A25" s="1">
        <v>46190</v>
      </c>
      <c r="B25" t="s">
        <v>244</v>
      </c>
      <c r="C25" t="str">
        <f>_xlfn.XLOOKUP(B25,'Customer Receivables'!A:A,'Customer Receivables'!B:B," ")</f>
        <v>C-034</v>
      </c>
      <c r="D25">
        <v>10000</v>
      </c>
      <c r="E25" t="s">
        <v>291</v>
      </c>
    </row>
    <row r="26" spans="1:5" x14ac:dyDescent="0.3">
      <c r="A26" s="1">
        <v>46190</v>
      </c>
      <c r="B26" t="s">
        <v>270</v>
      </c>
      <c r="C26" t="str">
        <f>_xlfn.XLOOKUP(B26,'Customer Receivables'!A:A,'Customer Receivables'!B:B," ")</f>
        <v>C-011</v>
      </c>
      <c r="D26">
        <v>220</v>
      </c>
      <c r="E26" t="s">
        <v>291</v>
      </c>
    </row>
    <row r="27" spans="1:5" x14ac:dyDescent="0.3">
      <c r="A27" s="1">
        <v>46191</v>
      </c>
      <c r="B27" t="s">
        <v>240</v>
      </c>
      <c r="C27" t="str">
        <f>_xlfn.XLOOKUP(B27,'Customer Receivables'!A:A,'Customer Receivables'!B:B," ")</f>
        <v>C-027</v>
      </c>
      <c r="D27">
        <v>10000</v>
      </c>
      <c r="E27" t="s">
        <v>291</v>
      </c>
    </row>
    <row r="28" spans="1:5" x14ac:dyDescent="0.3">
      <c r="A28" s="1">
        <v>46191</v>
      </c>
      <c r="B28" t="s">
        <v>243</v>
      </c>
      <c r="C28" t="str">
        <f>_xlfn.XLOOKUP(B28,'Customer Receivables'!A:A,'Customer Receivables'!B:B," ")</f>
        <v>C-033</v>
      </c>
      <c r="D28">
        <v>2000</v>
      </c>
      <c r="E28" t="s">
        <v>291</v>
      </c>
    </row>
    <row r="29" spans="1:5" x14ac:dyDescent="0.3">
      <c r="A29" s="1">
        <v>46191</v>
      </c>
      <c r="B29" t="s">
        <v>274</v>
      </c>
      <c r="C29" t="str">
        <f>_xlfn.XLOOKUP(B29,'Customer Receivables'!A:A,'Customer Receivables'!B:B," ")</f>
        <v>C-031</v>
      </c>
      <c r="D29">
        <v>10000</v>
      </c>
      <c r="E29" t="s">
        <v>291</v>
      </c>
    </row>
    <row r="30" spans="1:5" x14ac:dyDescent="0.3">
      <c r="A30" s="1">
        <v>46193</v>
      </c>
      <c r="B30" t="s">
        <v>267</v>
      </c>
      <c r="C30" t="str">
        <f>_xlfn.XLOOKUP(B30,'Customer Receivables'!A:A,'Customer Receivables'!B:B," ")</f>
        <v>C-006</v>
      </c>
      <c r="D30">
        <v>5000</v>
      </c>
      <c r="E30" t="s">
        <v>291</v>
      </c>
    </row>
    <row r="31" spans="1:5" x14ac:dyDescent="0.3">
      <c r="A31" s="1">
        <v>46193</v>
      </c>
      <c r="B31" t="s">
        <v>224</v>
      </c>
      <c r="C31" t="str">
        <f>_xlfn.XLOOKUP(B31,'Customer Receivables'!A:A,'Customer Receivables'!B:B," ")</f>
        <v>C-007</v>
      </c>
      <c r="D31">
        <v>10000</v>
      </c>
      <c r="E31" t="s">
        <v>291</v>
      </c>
    </row>
    <row r="32" spans="1:5" x14ac:dyDescent="0.3">
      <c r="A32" s="1">
        <v>46194</v>
      </c>
      <c r="B32" t="s">
        <v>265</v>
      </c>
      <c r="C32" t="str">
        <f>_xlfn.XLOOKUP(B32,'Customer Receivables'!A:A,'Customer Receivables'!B:B," ")</f>
        <v>C-002</v>
      </c>
      <c r="D32">
        <v>20000</v>
      </c>
      <c r="E32" t="s">
        <v>291</v>
      </c>
    </row>
    <row r="33" spans="1:5" x14ac:dyDescent="0.3">
      <c r="A33" s="1">
        <v>46196</v>
      </c>
      <c r="B33" t="s">
        <v>270</v>
      </c>
      <c r="C33" t="str">
        <f>_xlfn.XLOOKUP(B33,'Customer Receivables'!A:A,'Customer Receivables'!B:B," ")</f>
        <v>C-011</v>
      </c>
      <c r="D33">
        <v>280</v>
      </c>
      <c r="E33" t="s">
        <v>291</v>
      </c>
    </row>
    <row r="34" spans="1:5" x14ac:dyDescent="0.3">
      <c r="A34" s="1">
        <v>46196</v>
      </c>
      <c r="B34" t="s">
        <v>271</v>
      </c>
      <c r="C34" t="str">
        <f>_xlfn.XLOOKUP(B34,'Customer Receivables'!A:A,'Customer Receivables'!B:B," ")</f>
        <v>C-014</v>
      </c>
      <c r="D34">
        <v>10500</v>
      </c>
      <c r="E34" t="s">
        <v>291</v>
      </c>
    </row>
    <row r="35" spans="1:5" x14ac:dyDescent="0.3">
      <c r="A35" s="1">
        <v>46196</v>
      </c>
      <c r="B35" t="s">
        <v>224</v>
      </c>
      <c r="C35" t="str">
        <f>_xlfn.XLOOKUP(B35,'Customer Receivables'!A:A,'Customer Receivables'!B:B," ")</f>
        <v>C-007</v>
      </c>
      <c r="D35">
        <v>10000</v>
      </c>
      <c r="E35" t="s">
        <v>291</v>
      </c>
    </row>
    <row r="36" spans="1:5" x14ac:dyDescent="0.3">
      <c r="A36" s="1">
        <v>46174</v>
      </c>
      <c r="B36" t="s">
        <v>228</v>
      </c>
      <c r="C36" t="str">
        <f>_xlfn.XLOOKUP(B36,'Customer Receivables'!A:A,'Customer Receivables'!B:B," ")</f>
        <v>C-015</v>
      </c>
      <c r="D36">
        <v>19350</v>
      </c>
      <c r="E36" t="s">
        <v>290</v>
      </c>
    </row>
    <row r="37" spans="1:5" x14ac:dyDescent="0.3">
      <c r="A37" s="1">
        <v>46174</v>
      </c>
      <c r="B37" t="s">
        <v>233</v>
      </c>
      <c r="C37" t="str">
        <f>_xlfn.XLOOKUP(B37,'Customer Receivables'!A:A,'Customer Receivables'!B:B," ")</f>
        <v>C-019</v>
      </c>
      <c r="D37">
        <v>1300</v>
      </c>
      <c r="E37" t="s">
        <v>290</v>
      </c>
    </row>
    <row r="38" spans="1:5" x14ac:dyDescent="0.3">
      <c r="A38" s="1">
        <v>46175</v>
      </c>
      <c r="B38" t="s">
        <v>270</v>
      </c>
      <c r="C38" t="str">
        <f>_xlfn.XLOOKUP(B38,'Customer Receivables'!A:A,'Customer Receivables'!B:B," ")</f>
        <v>C-011</v>
      </c>
      <c r="D38">
        <v>570</v>
      </c>
      <c r="E38" t="s">
        <v>290</v>
      </c>
    </row>
    <row r="39" spans="1:5" x14ac:dyDescent="0.3">
      <c r="A39" s="1">
        <v>46175</v>
      </c>
      <c r="B39" t="s">
        <v>234</v>
      </c>
      <c r="C39" t="str">
        <f>_xlfn.XLOOKUP(B39,'Customer Receivables'!A:A,'Customer Receivables'!B:B," ")</f>
        <v>C-020</v>
      </c>
      <c r="D39">
        <v>21000</v>
      </c>
      <c r="E39" t="s">
        <v>290</v>
      </c>
    </row>
    <row r="40" spans="1:5" x14ac:dyDescent="0.3">
      <c r="A40" s="1">
        <v>46175</v>
      </c>
      <c r="B40" t="s">
        <v>235</v>
      </c>
      <c r="C40" t="str">
        <f>_xlfn.XLOOKUP(B40,'Customer Receivables'!A:A,'Customer Receivables'!B:B," ")</f>
        <v>C-021</v>
      </c>
      <c r="D40">
        <v>390</v>
      </c>
      <c r="E40" t="s">
        <v>290</v>
      </c>
    </row>
    <row r="41" spans="1:5" x14ac:dyDescent="0.3">
      <c r="A41" s="1">
        <v>46176</v>
      </c>
      <c r="B41" t="s">
        <v>227</v>
      </c>
      <c r="C41" t="str">
        <f>_xlfn.XLOOKUP(B41,'Customer Receivables'!A:A,'Customer Receivables'!B:B," ")</f>
        <v>C-013</v>
      </c>
      <c r="D41">
        <v>20800</v>
      </c>
      <c r="E41" t="s">
        <v>290</v>
      </c>
    </row>
    <row r="42" spans="1:5" x14ac:dyDescent="0.3">
      <c r="A42" s="1">
        <v>46176</v>
      </c>
      <c r="B42" t="s">
        <v>270</v>
      </c>
      <c r="C42" t="str">
        <f>_xlfn.XLOOKUP(B42,'Customer Receivables'!A:A,'Customer Receivables'!B:B," ")</f>
        <v>C-011</v>
      </c>
      <c r="D42">
        <v>3770</v>
      </c>
      <c r="E42" t="s">
        <v>290</v>
      </c>
    </row>
    <row r="43" spans="1:5" x14ac:dyDescent="0.3">
      <c r="A43" s="1">
        <v>46176</v>
      </c>
      <c r="B43" t="s">
        <v>236</v>
      </c>
      <c r="C43" t="str">
        <f>_xlfn.XLOOKUP(B43,'Customer Receivables'!A:A,'Customer Receivables'!B:B," ")</f>
        <v>C-022</v>
      </c>
      <c r="D43">
        <v>5550</v>
      </c>
      <c r="E43" t="s">
        <v>290</v>
      </c>
    </row>
    <row r="44" spans="1:5" x14ac:dyDescent="0.3">
      <c r="A44" s="1">
        <v>46177</v>
      </c>
      <c r="B44" t="s">
        <v>237</v>
      </c>
      <c r="C44" t="str">
        <f>_xlfn.XLOOKUP(B44,'Customer Receivables'!A:A,'Customer Receivables'!B:B," ")</f>
        <v>C-023</v>
      </c>
      <c r="D44">
        <v>145</v>
      </c>
      <c r="E44" t="s">
        <v>290</v>
      </c>
    </row>
    <row r="45" spans="1:5" x14ac:dyDescent="0.3">
      <c r="A45" s="1">
        <v>46179</v>
      </c>
      <c r="B45" t="s">
        <v>238</v>
      </c>
      <c r="C45" t="str">
        <f>_xlfn.XLOOKUP(B45,'Customer Receivables'!A:A,'Customer Receivables'!B:B," ")</f>
        <v>C-024</v>
      </c>
      <c r="D45">
        <v>26700</v>
      </c>
      <c r="E45" t="s">
        <v>290</v>
      </c>
    </row>
    <row r="46" spans="1:5" x14ac:dyDescent="0.3">
      <c r="A46" s="1">
        <v>46180</v>
      </c>
      <c r="B46" t="s">
        <v>227</v>
      </c>
      <c r="C46" t="str">
        <f>_xlfn.XLOOKUP(B46,'Customer Receivables'!A:A,'Customer Receivables'!B:B," ")</f>
        <v>C-013</v>
      </c>
      <c r="D46">
        <v>20800</v>
      </c>
      <c r="E46" t="s">
        <v>290</v>
      </c>
    </row>
    <row r="47" spans="1:5" x14ac:dyDescent="0.3">
      <c r="A47" s="1">
        <v>46180</v>
      </c>
      <c r="B47" t="s">
        <v>269</v>
      </c>
      <c r="C47" t="str">
        <f>_xlfn.XLOOKUP(B47,'Customer Receivables'!A:A,'Customer Receivables'!B:B," ")</f>
        <v>C-009</v>
      </c>
      <c r="D47">
        <v>8000</v>
      </c>
      <c r="E47" t="s">
        <v>290</v>
      </c>
    </row>
    <row r="48" spans="1:5" x14ac:dyDescent="0.3">
      <c r="A48" s="1">
        <v>46182</v>
      </c>
      <c r="B48" t="s">
        <v>270</v>
      </c>
      <c r="C48" t="str">
        <f>_xlfn.XLOOKUP(B48,'Customer Receivables'!A:A,'Customer Receivables'!B:B," ")</f>
        <v>C-011</v>
      </c>
      <c r="D48">
        <v>2650</v>
      </c>
      <c r="E48" t="s">
        <v>290</v>
      </c>
    </row>
    <row r="49" spans="1:5" x14ac:dyDescent="0.3">
      <c r="A49" s="1">
        <v>46183</v>
      </c>
      <c r="B49" t="s">
        <v>239</v>
      </c>
      <c r="C49" t="str">
        <f>_xlfn.XLOOKUP(B49,'Customer Receivables'!A:A,'Customer Receivables'!B:B," ")</f>
        <v>C-025</v>
      </c>
      <c r="D49">
        <v>1730</v>
      </c>
      <c r="E49" t="s">
        <v>290</v>
      </c>
    </row>
    <row r="50" spans="1:5" x14ac:dyDescent="0.3">
      <c r="A50" s="1">
        <v>46183</v>
      </c>
      <c r="B50" t="s">
        <v>229</v>
      </c>
      <c r="C50" t="str">
        <f>_xlfn.XLOOKUP(B50,'Customer Receivables'!A:A,'Customer Receivables'!B:B," ")</f>
        <v>C-016</v>
      </c>
      <c r="D50">
        <v>7850</v>
      </c>
      <c r="E50" t="s">
        <v>290</v>
      </c>
    </row>
    <row r="51" spans="1:5" x14ac:dyDescent="0.3">
      <c r="A51" s="1">
        <v>46184</v>
      </c>
      <c r="B51" t="s">
        <v>226</v>
      </c>
      <c r="C51" t="str">
        <f>_xlfn.XLOOKUP(B51,'Customer Receivables'!A:A,'Customer Receivables'!B:B," ")</f>
        <v>C-012</v>
      </c>
      <c r="D51">
        <v>9000</v>
      </c>
      <c r="E51" t="s">
        <v>290</v>
      </c>
    </row>
    <row r="52" spans="1:5" x14ac:dyDescent="0.3">
      <c r="A52" s="1">
        <v>46186</v>
      </c>
      <c r="B52" t="s">
        <v>222</v>
      </c>
      <c r="C52" t="str">
        <f>_xlfn.XLOOKUP(B52,'Customer Receivables'!A:A,'Customer Receivables'!B:B," ")</f>
        <v>C-001</v>
      </c>
      <c r="D52">
        <v>25800</v>
      </c>
      <c r="E52" t="s">
        <v>290</v>
      </c>
    </row>
    <row r="53" spans="1:5" x14ac:dyDescent="0.3">
      <c r="A53" s="1">
        <v>46187</v>
      </c>
      <c r="B53" t="s">
        <v>230</v>
      </c>
      <c r="C53" t="str">
        <f>_xlfn.XLOOKUP(B53,'Customer Receivables'!A:A,'Customer Receivables'!B:B," ")</f>
        <v>C-017</v>
      </c>
      <c r="D53">
        <v>430</v>
      </c>
      <c r="E53" t="s">
        <v>290</v>
      </c>
    </row>
    <row r="54" spans="1:5" x14ac:dyDescent="0.3">
      <c r="A54" s="1">
        <v>46188</v>
      </c>
      <c r="B54" t="s">
        <v>231</v>
      </c>
      <c r="C54" t="str">
        <f>_xlfn.XLOOKUP(B54,'Customer Receivables'!A:A,'Customer Receivables'!B:B," ")</f>
        <v>C-018</v>
      </c>
      <c r="D54">
        <v>5750</v>
      </c>
      <c r="E54" t="s">
        <v>290</v>
      </c>
    </row>
    <row r="55" spans="1:5" x14ac:dyDescent="0.3">
      <c r="A55" s="1">
        <v>46189</v>
      </c>
      <c r="B55" t="s">
        <v>241</v>
      </c>
      <c r="C55" t="str">
        <f>_xlfn.XLOOKUP(B55,'Customer Receivables'!A:A,'Customer Receivables'!B:B," ")</f>
        <v>C-028</v>
      </c>
      <c r="D55">
        <v>27800</v>
      </c>
      <c r="E55" t="s">
        <v>290</v>
      </c>
    </row>
    <row r="56" spans="1:5" x14ac:dyDescent="0.3">
      <c r="A56" s="1">
        <v>46190</v>
      </c>
      <c r="B56" t="s">
        <v>270</v>
      </c>
      <c r="C56" t="str">
        <f>_xlfn.XLOOKUP(B56,'Customer Receivables'!A:A,'Customer Receivables'!B:B," ")</f>
        <v>C-011</v>
      </c>
      <c r="D56">
        <v>2780</v>
      </c>
      <c r="E56" t="s">
        <v>290</v>
      </c>
    </row>
    <row r="57" spans="1:5" x14ac:dyDescent="0.3">
      <c r="A57" s="1">
        <v>46190</v>
      </c>
      <c r="B57" t="s">
        <v>268</v>
      </c>
      <c r="C57" t="str">
        <f>_xlfn.XLOOKUP(B57,'Customer Receivables'!A:A,'Customer Receivables'!B:B," ")</f>
        <v>C-008</v>
      </c>
      <c r="D57">
        <v>1890</v>
      </c>
      <c r="E57" t="s">
        <v>290</v>
      </c>
    </row>
    <row r="58" spans="1:5" x14ac:dyDescent="0.3">
      <c r="A58" s="1">
        <v>46190</v>
      </c>
      <c r="B58" t="s">
        <v>240</v>
      </c>
      <c r="C58" t="str">
        <f>_xlfn.XLOOKUP(B58,'Customer Receivables'!A:A,'Customer Receivables'!B:B," ")</f>
        <v>C-027</v>
      </c>
      <c r="D58">
        <v>2000</v>
      </c>
      <c r="E58" t="s">
        <v>291</v>
      </c>
    </row>
    <row r="59" spans="1:5" x14ac:dyDescent="0.3">
      <c r="A59" s="1">
        <v>46190</v>
      </c>
      <c r="B59" t="s">
        <v>225</v>
      </c>
      <c r="C59" t="str">
        <f>_xlfn.XLOOKUP(B59,'Customer Receivables'!A:A,'Customer Receivables'!B:B," ")</f>
        <v>C-010</v>
      </c>
      <c r="D59">
        <v>11000</v>
      </c>
      <c r="E59" t="s">
        <v>290</v>
      </c>
    </row>
    <row r="60" spans="1:5" x14ac:dyDescent="0.3">
      <c r="A60" s="1">
        <v>46193</v>
      </c>
      <c r="B60" t="s">
        <v>225</v>
      </c>
      <c r="C60" t="str">
        <f>_xlfn.XLOOKUP(B60,'Customer Receivables'!A:A,'Customer Receivables'!B:B," ")</f>
        <v>C-010</v>
      </c>
      <c r="D60">
        <v>8500</v>
      </c>
      <c r="E60" t="s">
        <v>290</v>
      </c>
    </row>
    <row r="61" spans="1:5" x14ac:dyDescent="0.3">
      <c r="A61" s="1">
        <v>46194</v>
      </c>
      <c r="B61" t="s">
        <v>267</v>
      </c>
      <c r="C61" t="str">
        <f>_xlfn.XLOOKUP(B61,'Customer Receivables'!A:A,'Customer Receivables'!B:B," ")</f>
        <v>C-006</v>
      </c>
      <c r="D61">
        <v>3100</v>
      </c>
      <c r="E61" t="s">
        <v>290</v>
      </c>
    </row>
    <row r="62" spans="1:5" x14ac:dyDescent="0.3">
      <c r="A62" s="1">
        <v>46195</v>
      </c>
      <c r="B62" t="s">
        <v>226</v>
      </c>
      <c r="C62" t="str">
        <f>_xlfn.XLOOKUP(B62,'Customer Receivables'!A:A,'Customer Receivables'!B:B," ")</f>
        <v>C-012</v>
      </c>
      <c r="D62">
        <v>1000</v>
      </c>
      <c r="E62" t="s">
        <v>290</v>
      </c>
    </row>
    <row r="63" spans="1:5" x14ac:dyDescent="0.3">
      <c r="A63" s="1">
        <v>46196</v>
      </c>
      <c r="B63" t="s">
        <v>270</v>
      </c>
      <c r="C63" t="str">
        <f>_xlfn.XLOOKUP(B63,'Customer Receivables'!A:A,'Customer Receivables'!B:B," ")</f>
        <v>C-011</v>
      </c>
      <c r="D63">
        <v>2720</v>
      </c>
      <c r="E63" t="s">
        <v>290</v>
      </c>
    </row>
    <row r="64" spans="1:5" x14ac:dyDescent="0.3">
      <c r="A64" s="1">
        <v>46196</v>
      </c>
      <c r="B64" t="s">
        <v>240</v>
      </c>
      <c r="C64" t="str">
        <f>_xlfn.XLOOKUP(B64,'Customer Receivables'!A:A,'Customer Receivables'!B:B," ")</f>
        <v>C-027</v>
      </c>
      <c r="D64">
        <v>10000</v>
      </c>
      <c r="E64" t="s">
        <v>291</v>
      </c>
    </row>
    <row r="65" spans="1:5" x14ac:dyDescent="0.3">
      <c r="A65" s="1">
        <v>46197</v>
      </c>
      <c r="B65" t="s">
        <v>226</v>
      </c>
      <c r="C65" t="str">
        <f>_xlfn.XLOOKUP(B65,'Customer Receivables'!A:A,'Customer Receivables'!B:B," ")</f>
        <v>C-012</v>
      </c>
      <c r="D65">
        <v>1575</v>
      </c>
      <c r="E65" t="s">
        <v>290</v>
      </c>
    </row>
    <row r="66" spans="1:5" x14ac:dyDescent="0.3">
      <c r="A66" s="1">
        <v>46198</v>
      </c>
      <c r="B66" t="s">
        <v>244</v>
      </c>
      <c r="C66" t="str">
        <f>_xlfn.XLOOKUP(B66,'Customer Receivables'!A:A,'Customer Receivables'!B:B," ")</f>
        <v>C-034</v>
      </c>
      <c r="D66">
        <v>5000</v>
      </c>
      <c r="E66" t="s">
        <v>291</v>
      </c>
    </row>
    <row r="67" spans="1:5" x14ac:dyDescent="0.3">
      <c r="A67" s="1">
        <v>46198</v>
      </c>
      <c r="B67" t="s">
        <v>232</v>
      </c>
      <c r="C67" t="str">
        <f>_xlfn.XLOOKUP(B67,'Customer Receivables'!A:A,'Customer Receivables'!B:B," ")</f>
        <v>C-036</v>
      </c>
      <c r="D67">
        <v>50</v>
      </c>
      <c r="E67" t="s">
        <v>290</v>
      </c>
    </row>
    <row r="68" spans="1:5" x14ac:dyDescent="0.3">
      <c r="A68" s="1">
        <v>46199</v>
      </c>
      <c r="B68" t="s">
        <v>265</v>
      </c>
      <c r="C68" t="str">
        <f>_xlfn.XLOOKUP(B68,'Customer Receivables'!A:A,'Customer Receivables'!B:B," ")</f>
        <v>C-002</v>
      </c>
      <c r="D68">
        <v>20000</v>
      </c>
      <c r="E68" t="s">
        <v>291</v>
      </c>
    </row>
    <row r="69" spans="1:5" x14ac:dyDescent="0.3">
      <c r="A69" s="1">
        <v>46199</v>
      </c>
      <c r="B69" t="s">
        <v>240</v>
      </c>
      <c r="C69" t="str">
        <f>_xlfn.XLOOKUP(B69,'Customer Receivables'!A:A,'Customer Receivables'!B:B," ")</f>
        <v>C-027</v>
      </c>
      <c r="D69">
        <v>20000</v>
      </c>
      <c r="E69" t="s">
        <v>291</v>
      </c>
    </row>
    <row r="70" spans="1:5" x14ac:dyDescent="0.3">
      <c r="A70" s="1">
        <v>46199</v>
      </c>
      <c r="B70" t="s">
        <v>224</v>
      </c>
      <c r="C70" t="str">
        <f>_xlfn.XLOOKUP(B70,'Customer Receivables'!A:A,'Customer Receivables'!B:B," ")</f>
        <v>C-007</v>
      </c>
      <c r="D70">
        <v>10000</v>
      </c>
      <c r="E70" t="s">
        <v>291</v>
      </c>
    </row>
    <row r="71" spans="1:5" x14ac:dyDescent="0.3">
      <c r="A71" s="1">
        <v>46200</v>
      </c>
      <c r="B71" t="s">
        <v>267</v>
      </c>
      <c r="C71" t="str">
        <f>_xlfn.XLOOKUP(B71,'Customer Receivables'!A:A,'Customer Receivables'!B:B," ")</f>
        <v>C-006</v>
      </c>
      <c r="D71">
        <v>10000</v>
      </c>
      <c r="E71" t="s">
        <v>291</v>
      </c>
    </row>
    <row r="72" spans="1:5" x14ac:dyDescent="0.3">
      <c r="A72" s="1">
        <v>46200</v>
      </c>
      <c r="B72" t="s">
        <v>272</v>
      </c>
      <c r="C72" t="str">
        <f>_xlfn.XLOOKUP(B72,'Customer Receivables'!A:A,'Customer Receivables'!B:B," ")</f>
        <v>C-026</v>
      </c>
      <c r="D72">
        <v>2100</v>
      </c>
      <c r="E72" t="s">
        <v>291</v>
      </c>
    </row>
    <row r="73" spans="1:5" x14ac:dyDescent="0.3">
      <c r="A73" s="1">
        <v>46200</v>
      </c>
      <c r="B73" t="s">
        <v>226</v>
      </c>
      <c r="C73" t="str">
        <f>_xlfn.XLOOKUP(B73,'Customer Receivables'!A:A,'Customer Receivables'!B:B," ")</f>
        <v>C-012</v>
      </c>
      <c r="D73">
        <v>2350</v>
      </c>
      <c r="E73" t="s">
        <v>100</v>
      </c>
    </row>
    <row r="74" spans="1:5" x14ac:dyDescent="0.3">
      <c r="A74" s="1">
        <v>46200</v>
      </c>
      <c r="B74" t="s">
        <v>246</v>
      </c>
      <c r="C74" t="str">
        <f>_xlfn.XLOOKUP(B74,'Customer Receivables'!A:A,'Customer Receivables'!B:B," ")</f>
        <v>C-037</v>
      </c>
      <c r="D74">
        <v>2500</v>
      </c>
      <c r="E74" t="s">
        <v>290</v>
      </c>
    </row>
    <row r="75" spans="1:5" x14ac:dyDescent="0.3">
      <c r="A75" s="1">
        <v>46201</v>
      </c>
      <c r="B75" t="s">
        <v>224</v>
      </c>
      <c r="C75" t="str">
        <f>_xlfn.XLOOKUP(B75,'Customer Receivables'!A:A,'Customer Receivables'!B:B," ")</f>
        <v>C-007</v>
      </c>
      <c r="D75">
        <v>25000</v>
      </c>
      <c r="E75" t="s">
        <v>291</v>
      </c>
    </row>
    <row r="76" spans="1:5" x14ac:dyDescent="0.3">
      <c r="A76" s="1">
        <v>46201</v>
      </c>
      <c r="B76" t="s">
        <v>268</v>
      </c>
      <c r="C76" t="str">
        <f>_xlfn.XLOOKUP(B76,'Customer Receivables'!A:A,'Customer Receivables'!B:B," ")</f>
        <v>C-008</v>
      </c>
      <c r="D76">
        <v>3000</v>
      </c>
      <c r="E76" t="s">
        <v>290</v>
      </c>
    </row>
    <row r="77" spans="1:5" x14ac:dyDescent="0.3">
      <c r="A77" s="1">
        <v>46202</v>
      </c>
      <c r="B77" t="s">
        <v>224</v>
      </c>
      <c r="C77" t="str">
        <f>_xlfn.XLOOKUP(B77,'Customer Receivables'!A:A,'Customer Receivables'!B:B," ")</f>
        <v>C-007</v>
      </c>
      <c r="D77">
        <v>20000</v>
      </c>
      <c r="E77" t="s">
        <v>291</v>
      </c>
    </row>
    <row r="78" spans="1:5" x14ac:dyDescent="0.3">
      <c r="A78" s="1">
        <v>46202</v>
      </c>
      <c r="B78" t="s">
        <v>270</v>
      </c>
      <c r="C78" t="str">
        <f>_xlfn.XLOOKUP(B78,'Customer Receivables'!A:A,'Customer Receivables'!B:B," ")</f>
        <v>C-011</v>
      </c>
      <c r="D78">
        <v>5000</v>
      </c>
      <c r="E78" t="s">
        <v>291</v>
      </c>
    </row>
    <row r="79" spans="1:5" x14ac:dyDescent="0.3">
      <c r="A79" s="1">
        <v>46202</v>
      </c>
      <c r="B79" t="s">
        <v>244</v>
      </c>
      <c r="C79" t="str">
        <f>_xlfn.XLOOKUP(B79,'Customer Receivables'!A:A,'Customer Receivables'!B:B," ")</f>
        <v>C-034</v>
      </c>
      <c r="D79">
        <v>10000</v>
      </c>
      <c r="E79" t="s">
        <v>291</v>
      </c>
    </row>
    <row r="80" spans="1:5" x14ac:dyDescent="0.3">
      <c r="A80" s="1">
        <v>46203</v>
      </c>
      <c r="B80" t="s">
        <v>243</v>
      </c>
      <c r="C80" t="str">
        <f>_xlfn.XLOOKUP(B80,'Customer Receivables'!A:A,'Customer Receivables'!B:B," ")</f>
        <v>C-033</v>
      </c>
      <c r="D80">
        <v>5500</v>
      </c>
      <c r="E80" t="s">
        <v>291</v>
      </c>
    </row>
    <row r="81" spans="1:5" x14ac:dyDescent="0.3">
      <c r="A81" s="1">
        <v>46204</v>
      </c>
      <c r="B81" t="s">
        <v>246</v>
      </c>
      <c r="C81" t="str">
        <f>_xlfn.XLOOKUP(B81,'Customer Receivables'!A:A,'Customer Receivables'!B:B," ")</f>
        <v>C-037</v>
      </c>
      <c r="D81">
        <v>500</v>
      </c>
      <c r="E81" t="s">
        <v>107</v>
      </c>
    </row>
    <row r="82" spans="1:5" x14ac:dyDescent="0.3">
      <c r="A82" s="1">
        <v>46204</v>
      </c>
      <c r="B82" t="s">
        <v>240</v>
      </c>
      <c r="C82" t="str">
        <f>_xlfn.XLOOKUP(B82,'Customer Receivables'!A:A,'Customer Receivables'!B:B," ")</f>
        <v>C-027</v>
      </c>
      <c r="D82">
        <v>10000</v>
      </c>
      <c r="E82" t="s">
        <v>291</v>
      </c>
    </row>
    <row r="83" spans="1:5" x14ac:dyDescent="0.3">
      <c r="A83" s="1">
        <v>46204</v>
      </c>
      <c r="B83" t="s">
        <v>247</v>
      </c>
      <c r="C83" t="str">
        <f>_xlfn.XLOOKUP(B83,'Customer Receivables'!A:A,'Customer Receivables'!B:B," ")</f>
        <v>C-038</v>
      </c>
      <c r="D83">
        <v>190</v>
      </c>
      <c r="E83" t="s">
        <v>290</v>
      </c>
    </row>
    <row r="84" spans="1:5" x14ac:dyDescent="0.3">
      <c r="A84" s="1">
        <v>46205</v>
      </c>
      <c r="B84" t="s">
        <v>248</v>
      </c>
      <c r="C84" t="str">
        <f>_xlfn.XLOOKUP(B84,'Customer Receivables'!A:A,'Customer Receivables'!B:B," ")</f>
        <v>C-039</v>
      </c>
      <c r="D84">
        <v>20700</v>
      </c>
      <c r="E84" t="s">
        <v>290</v>
      </c>
    </row>
    <row r="85" spans="1:5" x14ac:dyDescent="0.3">
      <c r="A85" s="1">
        <v>46205</v>
      </c>
      <c r="B85" t="s">
        <v>274</v>
      </c>
      <c r="C85" t="str">
        <f>_xlfn.XLOOKUP(B85,'Customer Receivables'!A:A,'Customer Receivables'!B:B," ")</f>
        <v>C-031</v>
      </c>
      <c r="D85">
        <v>10000</v>
      </c>
      <c r="E85" t="s">
        <v>291</v>
      </c>
    </row>
    <row r="86" spans="1:5" x14ac:dyDescent="0.3">
      <c r="A86" s="1">
        <v>46207</v>
      </c>
      <c r="B86" t="s">
        <v>224</v>
      </c>
      <c r="C86" t="str">
        <f>_xlfn.XLOOKUP(B86,'Customer Receivables'!A:A,'Customer Receivables'!B:B," ")</f>
        <v>C-007</v>
      </c>
      <c r="D86">
        <v>10000</v>
      </c>
      <c r="E86" t="s">
        <v>291</v>
      </c>
    </row>
    <row r="87" spans="1:5" x14ac:dyDescent="0.3">
      <c r="A87" s="1">
        <v>46207</v>
      </c>
      <c r="B87" t="s">
        <v>270</v>
      </c>
      <c r="C87" t="str">
        <f>_xlfn.XLOOKUP(B87,'Customer Receivables'!A:A,'Customer Receivables'!B:B," ")</f>
        <v>C-011</v>
      </c>
      <c r="D87">
        <v>2520</v>
      </c>
      <c r="E87" t="s">
        <v>290</v>
      </c>
    </row>
    <row r="88" spans="1:5" x14ac:dyDescent="0.3">
      <c r="A88" s="1">
        <v>46207</v>
      </c>
      <c r="B88" t="s">
        <v>270</v>
      </c>
      <c r="C88" t="str">
        <f>_xlfn.XLOOKUP(B88,'Customer Receivables'!A:A,'Customer Receivables'!B:B," ")</f>
        <v>C-011</v>
      </c>
      <c r="D88">
        <v>480</v>
      </c>
      <c r="E88" t="s">
        <v>291</v>
      </c>
    </row>
    <row r="89" spans="1:5" x14ac:dyDescent="0.3">
      <c r="A89" s="1">
        <v>46207</v>
      </c>
      <c r="B89" t="s">
        <v>254</v>
      </c>
      <c r="C89" t="str">
        <f>_xlfn.XLOOKUP(B89,'Customer Receivables'!A:A,'Customer Receivables'!B:B," ")</f>
        <v>C-045</v>
      </c>
      <c r="D89">
        <v>13200</v>
      </c>
      <c r="E89" t="s">
        <v>290</v>
      </c>
    </row>
    <row r="90" spans="1:5" x14ac:dyDescent="0.3">
      <c r="A90" s="1">
        <v>46208</v>
      </c>
      <c r="B90" t="s">
        <v>249</v>
      </c>
      <c r="C90" t="str">
        <f>_xlfn.XLOOKUP(B90,'Customer Receivables'!A:A,'Customer Receivables'!B:B," ")</f>
        <v>C-040</v>
      </c>
      <c r="D90">
        <v>10500</v>
      </c>
      <c r="E90" t="s">
        <v>290</v>
      </c>
    </row>
    <row r="91" spans="1:5" x14ac:dyDescent="0.3">
      <c r="A91" s="1">
        <v>46208</v>
      </c>
      <c r="B91" t="s">
        <v>240</v>
      </c>
      <c r="C91" t="str">
        <f>_xlfn.XLOOKUP(B91,'Customer Receivables'!A:A,'Customer Receivables'!B:B," ")</f>
        <v>C-027</v>
      </c>
      <c r="D91">
        <v>10000</v>
      </c>
      <c r="E91" t="s">
        <v>291</v>
      </c>
    </row>
    <row r="92" spans="1:5" x14ac:dyDescent="0.3">
      <c r="A92" s="1">
        <v>46208</v>
      </c>
      <c r="B92" t="s">
        <v>245</v>
      </c>
      <c r="C92" t="str">
        <f>_xlfn.XLOOKUP(B92,'Customer Receivables'!A:A,'Customer Receivables'!B:B," ")</f>
        <v>C-035</v>
      </c>
      <c r="D92">
        <v>7000</v>
      </c>
      <c r="E92" t="s">
        <v>291</v>
      </c>
    </row>
    <row r="93" spans="1:5" x14ac:dyDescent="0.3">
      <c r="A93" s="1">
        <v>46209</v>
      </c>
      <c r="B93" t="s">
        <v>268</v>
      </c>
      <c r="C93" t="str">
        <f>_xlfn.XLOOKUP(B93,'Customer Receivables'!A:A,'Customer Receivables'!B:B," ")</f>
        <v>C-008</v>
      </c>
      <c r="D93">
        <v>1780</v>
      </c>
      <c r="E93" t="s">
        <v>290</v>
      </c>
    </row>
    <row r="94" spans="1:5" x14ac:dyDescent="0.3">
      <c r="A94" s="1">
        <v>46209</v>
      </c>
      <c r="B94" t="s">
        <v>254</v>
      </c>
      <c r="C94" t="str">
        <f>_xlfn.XLOOKUP(B94,'Customer Receivables'!A:A,'Customer Receivables'!B:B," ")</f>
        <v>C-045</v>
      </c>
      <c r="D94">
        <v>6050</v>
      </c>
      <c r="E94" t="s">
        <v>290</v>
      </c>
    </row>
    <row r="95" spans="1:5" x14ac:dyDescent="0.3">
      <c r="A95" s="1">
        <v>46209</v>
      </c>
      <c r="B95" t="s">
        <v>248</v>
      </c>
      <c r="C95" t="str">
        <f>_xlfn.XLOOKUP(B95,'Customer Receivables'!A:A,'Customer Receivables'!B:B," ")</f>
        <v>C-039</v>
      </c>
      <c r="D95">
        <v>20700</v>
      </c>
      <c r="E95" t="s">
        <v>290</v>
      </c>
    </row>
    <row r="96" spans="1:5" x14ac:dyDescent="0.3">
      <c r="A96" s="1">
        <v>46211</v>
      </c>
      <c r="B96" t="s">
        <v>248</v>
      </c>
      <c r="C96" t="str">
        <f>_xlfn.XLOOKUP(B96,'Customer Receivables'!A:A,'Customer Receivables'!B:B," ")</f>
        <v>C-039</v>
      </c>
      <c r="D96">
        <v>20700</v>
      </c>
      <c r="E96" t="s">
        <v>290</v>
      </c>
    </row>
    <row r="97" spans="1:5" x14ac:dyDescent="0.3">
      <c r="A97" s="1">
        <v>46211</v>
      </c>
      <c r="B97" t="s">
        <v>224</v>
      </c>
      <c r="C97" t="str">
        <f>_xlfn.XLOOKUP(B97,'Customer Receivables'!A:A,'Customer Receivables'!B:B," ")</f>
        <v>C-007</v>
      </c>
      <c r="D97">
        <v>10000</v>
      </c>
      <c r="E97" t="s">
        <v>291</v>
      </c>
    </row>
    <row r="98" spans="1:5" x14ac:dyDescent="0.3">
      <c r="A98" s="1">
        <v>46211</v>
      </c>
      <c r="B98" t="s">
        <v>240</v>
      </c>
      <c r="C98" t="str">
        <f>_xlfn.XLOOKUP(B98,'Customer Receivables'!A:A,'Customer Receivables'!B:B," ")</f>
        <v>C-027</v>
      </c>
      <c r="D98">
        <v>10000</v>
      </c>
      <c r="E98" t="s">
        <v>291</v>
      </c>
    </row>
    <row r="99" spans="1:5" x14ac:dyDescent="0.3">
      <c r="A99" s="1">
        <v>46212</v>
      </c>
      <c r="B99" t="s">
        <v>225</v>
      </c>
      <c r="C99" t="str">
        <f>_xlfn.XLOOKUP(B99,'Customer Receivables'!A:A,'Customer Receivables'!B:B," ")</f>
        <v>C-010</v>
      </c>
      <c r="D99">
        <v>2100</v>
      </c>
      <c r="E99" t="s">
        <v>290</v>
      </c>
    </row>
    <row r="100" spans="1:5" x14ac:dyDescent="0.3">
      <c r="A100" s="1">
        <v>46212</v>
      </c>
      <c r="B100" t="s">
        <v>222</v>
      </c>
      <c r="C100" t="str">
        <f>_xlfn.XLOOKUP(B100,'Customer Receivables'!A:A,'Customer Receivables'!B:B," ")</f>
        <v>C-001</v>
      </c>
      <c r="D100">
        <v>21000</v>
      </c>
      <c r="E100" t="s">
        <v>290</v>
      </c>
    </row>
    <row r="101" spans="1:5" x14ac:dyDescent="0.3">
      <c r="A101" s="1">
        <v>46212</v>
      </c>
      <c r="B101" t="s">
        <v>223</v>
      </c>
      <c r="C101" t="str">
        <f>_xlfn.XLOOKUP(B101,'Customer Receivables'!A:A,'Customer Receivables'!B:B," ")</f>
        <v>C-003</v>
      </c>
      <c r="D101">
        <v>11000</v>
      </c>
      <c r="E101" t="s">
        <v>291</v>
      </c>
    </row>
    <row r="102" spans="1:5" x14ac:dyDescent="0.3">
      <c r="A102" s="1">
        <v>46212</v>
      </c>
      <c r="B102" t="s">
        <v>266</v>
      </c>
      <c r="C102" t="str">
        <f>_xlfn.XLOOKUP(B102,'Customer Receivables'!A:A,'Customer Receivables'!B:B," ")</f>
        <v>C-004</v>
      </c>
      <c r="D102">
        <v>785</v>
      </c>
      <c r="E102" t="s">
        <v>291</v>
      </c>
    </row>
    <row r="103" spans="1:5" x14ac:dyDescent="0.3">
      <c r="A103" s="1">
        <v>46214</v>
      </c>
      <c r="B103" t="s">
        <v>255</v>
      </c>
      <c r="C103" t="str">
        <f>_xlfn.XLOOKUP(B103,'Customer Receivables'!A:A,'Customer Receivables'!B:B," ")</f>
        <v>C-046</v>
      </c>
      <c r="D103">
        <v>20700</v>
      </c>
      <c r="E103" t="s">
        <v>290</v>
      </c>
    </row>
    <row r="104" spans="1:5" x14ac:dyDescent="0.3">
      <c r="A104" s="1">
        <v>46214</v>
      </c>
      <c r="B104" t="s">
        <v>256</v>
      </c>
      <c r="C104" t="str">
        <f>_xlfn.XLOOKUP(B104,'Customer Receivables'!A:A,'Customer Receivables'!B:B," ")</f>
        <v>C-047</v>
      </c>
      <c r="D104">
        <v>21200</v>
      </c>
      <c r="E104" t="s">
        <v>290</v>
      </c>
    </row>
    <row r="105" spans="1:5" x14ac:dyDescent="0.3">
      <c r="A105" s="1">
        <v>46214</v>
      </c>
      <c r="B105" t="s">
        <v>267</v>
      </c>
      <c r="C105" t="str">
        <f>_xlfn.XLOOKUP(B105,'Customer Receivables'!A:A,'Customer Receivables'!B:B," ")</f>
        <v>C-006</v>
      </c>
      <c r="D105">
        <v>5000</v>
      </c>
      <c r="E105" t="s">
        <v>291</v>
      </c>
    </row>
    <row r="106" spans="1:5" x14ac:dyDescent="0.3">
      <c r="A106" s="1">
        <v>46215</v>
      </c>
      <c r="B106" t="s">
        <v>257</v>
      </c>
      <c r="C106" t="str">
        <f>_xlfn.XLOOKUP(B106,'Customer Receivables'!A:A,'Customer Receivables'!B:B," ")</f>
        <v>C-048</v>
      </c>
      <c r="D106">
        <v>20800</v>
      </c>
      <c r="E106" t="s">
        <v>290</v>
      </c>
    </row>
    <row r="107" spans="1:5" x14ac:dyDescent="0.3">
      <c r="A107" s="1">
        <v>46217</v>
      </c>
      <c r="B107" t="s">
        <v>250</v>
      </c>
      <c r="C107" t="str">
        <f>_xlfn.XLOOKUP(B107,'Customer Receivables'!A:A,'Customer Receivables'!B:B," ")</f>
        <v>C-041</v>
      </c>
      <c r="D107">
        <v>5500</v>
      </c>
      <c r="E107" t="s">
        <v>290</v>
      </c>
    </row>
    <row r="108" spans="1:5" x14ac:dyDescent="0.3">
      <c r="A108" s="1">
        <v>46218</v>
      </c>
      <c r="B108" t="s">
        <v>244</v>
      </c>
      <c r="C108" t="str">
        <f>_xlfn.XLOOKUP(B108,'Customer Receivables'!A:A,'Customer Receivables'!B:B," ")</f>
        <v>C-034</v>
      </c>
      <c r="D108">
        <v>10000</v>
      </c>
      <c r="E108" t="s">
        <v>291</v>
      </c>
    </row>
    <row r="109" spans="1:5" x14ac:dyDescent="0.3">
      <c r="A109" s="1">
        <v>46218</v>
      </c>
      <c r="B109" t="s">
        <v>240</v>
      </c>
      <c r="C109" t="str">
        <f>_xlfn.XLOOKUP(B109,'Customer Receivables'!A:A,'Customer Receivables'!B:B," ")</f>
        <v>C-027</v>
      </c>
      <c r="D109">
        <v>15000</v>
      </c>
      <c r="E109" t="s">
        <v>291</v>
      </c>
    </row>
    <row r="110" spans="1:5" x14ac:dyDescent="0.3">
      <c r="A110" s="1">
        <v>46219</v>
      </c>
      <c r="B110" t="s">
        <v>251</v>
      </c>
      <c r="C110" t="str">
        <f>_xlfn.XLOOKUP(B110,'Customer Receivables'!A:A,'Customer Receivables'!B:B," ")</f>
        <v>C-042</v>
      </c>
      <c r="D110">
        <v>1140</v>
      </c>
      <c r="E110" t="s">
        <v>290</v>
      </c>
    </row>
    <row r="111" spans="1:5" x14ac:dyDescent="0.3">
      <c r="A111" s="1">
        <v>46219</v>
      </c>
      <c r="B111" t="s">
        <v>224</v>
      </c>
      <c r="C111" t="str">
        <f>_xlfn.XLOOKUP(B111,'Customer Receivables'!A:A,'Customer Receivables'!B:B," ")</f>
        <v>C-007</v>
      </c>
      <c r="D111">
        <v>10000</v>
      </c>
      <c r="E111" t="s">
        <v>291</v>
      </c>
    </row>
    <row r="112" spans="1:5" x14ac:dyDescent="0.3">
      <c r="A112" s="1">
        <v>46222</v>
      </c>
      <c r="B112" t="s">
        <v>252</v>
      </c>
      <c r="C112" t="str">
        <f>_xlfn.XLOOKUP(B112,'Customer Receivables'!A:A,'Customer Receivables'!B:B," ")</f>
        <v>C-043</v>
      </c>
      <c r="D112">
        <v>745</v>
      </c>
      <c r="E112" t="s">
        <v>290</v>
      </c>
    </row>
    <row r="113" spans="1:5" x14ac:dyDescent="0.3">
      <c r="A113" s="1">
        <v>46223</v>
      </c>
      <c r="B113" t="s">
        <v>258</v>
      </c>
      <c r="C113" t="str">
        <f>_xlfn.XLOOKUP(B113,'Customer Receivables'!A:A,'Customer Receivables'!B:B," ")</f>
        <v>C-049</v>
      </c>
      <c r="D113">
        <v>10140</v>
      </c>
      <c r="E113" t="s">
        <v>290</v>
      </c>
    </row>
    <row r="114" spans="1:5" x14ac:dyDescent="0.3">
      <c r="A114" s="1">
        <v>46223</v>
      </c>
      <c r="B114" t="s">
        <v>243</v>
      </c>
      <c r="C114" t="str">
        <f>_xlfn.XLOOKUP(B114,'Customer Receivables'!A:A,'Customer Receivables'!B:B," ")</f>
        <v>C-033</v>
      </c>
      <c r="D114">
        <v>2500</v>
      </c>
      <c r="E114" t="s">
        <v>291</v>
      </c>
    </row>
    <row r="115" spans="1:5" x14ac:dyDescent="0.3">
      <c r="A115" s="1">
        <v>46224</v>
      </c>
      <c r="B115" t="s">
        <v>256</v>
      </c>
      <c r="C115" t="str">
        <f>_xlfn.XLOOKUP(B115,'Customer Receivables'!A:A,'Customer Receivables'!B:B," ")</f>
        <v>C-047</v>
      </c>
      <c r="D115">
        <v>20840</v>
      </c>
      <c r="E115" t="s">
        <v>290</v>
      </c>
    </row>
    <row r="116" spans="1:5" x14ac:dyDescent="0.3">
      <c r="A116" s="1">
        <v>46224</v>
      </c>
      <c r="B116" t="s">
        <v>253</v>
      </c>
      <c r="C116" t="str">
        <f>_xlfn.XLOOKUP(B116,'Customer Receivables'!A:A,'Customer Receivables'!B:B," ")</f>
        <v>C-044</v>
      </c>
      <c r="D116">
        <v>1200</v>
      </c>
      <c r="E116" t="s">
        <v>290</v>
      </c>
    </row>
    <row r="117" spans="1:5" x14ac:dyDescent="0.3">
      <c r="A117" s="1">
        <v>46225</v>
      </c>
      <c r="B117" t="s">
        <v>274</v>
      </c>
      <c r="C117" t="str">
        <f>_xlfn.XLOOKUP(B117,'Customer Receivables'!A:A,'Customer Receivables'!B:B," ")</f>
        <v>C-031</v>
      </c>
      <c r="D117">
        <v>5500</v>
      </c>
      <c r="E117" t="s">
        <v>291</v>
      </c>
    </row>
    <row r="118" spans="1:5" x14ac:dyDescent="0.3">
      <c r="A118" s="1">
        <v>46225</v>
      </c>
      <c r="B118" t="s">
        <v>223</v>
      </c>
      <c r="C118" t="str">
        <f>_xlfn.XLOOKUP(B118,'Customer Receivables'!A:A,'Customer Receivables'!B:B," ")</f>
        <v>C-003</v>
      </c>
      <c r="D118">
        <v>10000</v>
      </c>
      <c r="E118" t="s">
        <v>291</v>
      </c>
    </row>
    <row r="119" spans="1:5" x14ac:dyDescent="0.3">
      <c r="A119" s="1">
        <v>46225</v>
      </c>
      <c r="B119" t="s">
        <v>240</v>
      </c>
      <c r="C119" t="str">
        <f>_xlfn.XLOOKUP(B119,'Customer Receivables'!A:A,'Customer Receivables'!B:B," ")</f>
        <v>C-027</v>
      </c>
      <c r="D119">
        <v>10000</v>
      </c>
      <c r="E119" t="s">
        <v>291</v>
      </c>
    </row>
    <row r="120" spans="1:5" x14ac:dyDescent="0.3">
      <c r="A120" s="1">
        <v>46225</v>
      </c>
      <c r="B120" t="s">
        <v>270</v>
      </c>
      <c r="C120" t="str">
        <f>_xlfn.XLOOKUP(B120,'Customer Receivables'!A:A,'Customer Receivables'!B:B," ")</f>
        <v>C-011</v>
      </c>
      <c r="D120">
        <v>475</v>
      </c>
      <c r="E120" t="s">
        <v>290</v>
      </c>
    </row>
    <row r="121" spans="1:5" x14ac:dyDescent="0.3">
      <c r="A121" s="1">
        <v>46225</v>
      </c>
      <c r="B121" t="s">
        <v>258</v>
      </c>
      <c r="C121" t="str">
        <f>_xlfn.XLOOKUP(B121,'Customer Receivables'!A:A,'Customer Receivables'!B:B," ")</f>
        <v>C-049</v>
      </c>
      <c r="D121">
        <v>1500</v>
      </c>
      <c r="E121" t="s">
        <v>290</v>
      </c>
    </row>
    <row r="122" spans="1:5" x14ac:dyDescent="0.3">
      <c r="A122" s="1">
        <v>46226</v>
      </c>
      <c r="B122" t="s">
        <v>270</v>
      </c>
      <c r="C122" t="str">
        <f>_xlfn.XLOOKUP(B122,'Customer Receivables'!A:A,'Customer Receivables'!B:B," ")</f>
        <v>C-011</v>
      </c>
      <c r="D122">
        <v>1000</v>
      </c>
      <c r="E122" t="s">
        <v>291</v>
      </c>
    </row>
    <row r="123" spans="1:5" x14ac:dyDescent="0.3">
      <c r="A123" s="1">
        <v>46227</v>
      </c>
      <c r="B123" t="s">
        <v>226</v>
      </c>
      <c r="C123" t="str">
        <f>_xlfn.XLOOKUP(B123,'Customer Receivables'!A:A,'Customer Receivables'!B:B," ")</f>
        <v>C-012</v>
      </c>
      <c r="D123">
        <v>2350</v>
      </c>
      <c r="E123" t="s">
        <v>290</v>
      </c>
    </row>
    <row r="124" spans="1:5" x14ac:dyDescent="0.3">
      <c r="A124" s="1">
        <v>46228</v>
      </c>
      <c r="B124" t="s">
        <v>254</v>
      </c>
      <c r="C124" t="str">
        <f>_xlfn.XLOOKUP(B124,'Customer Receivables'!A:A,'Customer Receivables'!B:B," ")</f>
        <v>C-045</v>
      </c>
      <c r="D124">
        <v>10400</v>
      </c>
      <c r="E124" t="s">
        <v>290</v>
      </c>
    </row>
    <row r="125" spans="1:5" x14ac:dyDescent="0.3">
      <c r="A125" s="1">
        <v>46228</v>
      </c>
      <c r="B125" t="s">
        <v>267</v>
      </c>
      <c r="C125" t="str">
        <f>_xlfn.XLOOKUP(B125,'Customer Receivables'!A:A,'Customer Receivables'!B:B," ")</f>
        <v>C-006</v>
      </c>
      <c r="D125">
        <v>10000</v>
      </c>
      <c r="E125" t="s">
        <v>291</v>
      </c>
    </row>
    <row r="126" spans="1:5" x14ac:dyDescent="0.3">
      <c r="A126" s="1">
        <v>46229</v>
      </c>
      <c r="B126" t="s">
        <v>259</v>
      </c>
      <c r="C126" t="str">
        <f>_xlfn.XLOOKUP(B126,'Customer Receivables'!A:A,'Customer Receivables'!B:B," ")</f>
        <v>C-050</v>
      </c>
      <c r="D126">
        <v>230</v>
      </c>
      <c r="E126" t="s">
        <v>290</v>
      </c>
    </row>
    <row r="127" spans="1:5" x14ac:dyDescent="0.3">
      <c r="A127" s="1">
        <v>46229</v>
      </c>
      <c r="B127" t="s">
        <v>272</v>
      </c>
      <c r="C127" t="str">
        <f>_xlfn.XLOOKUP(B127,'Customer Receivables'!A:A,'Customer Receivables'!B:B," ")</f>
        <v>C-026</v>
      </c>
      <c r="D127">
        <v>6900</v>
      </c>
      <c r="E127" t="s">
        <v>290</v>
      </c>
    </row>
    <row r="128" spans="1:5" x14ac:dyDescent="0.3">
      <c r="A128" s="1">
        <v>46230</v>
      </c>
      <c r="B128" t="s">
        <v>223</v>
      </c>
      <c r="C128" t="str">
        <f>_xlfn.XLOOKUP(B128,'Customer Receivables'!A:A,'Customer Receivables'!B:B," ")</f>
        <v>C-003</v>
      </c>
      <c r="D128">
        <v>35000</v>
      </c>
      <c r="E128" t="s">
        <v>291</v>
      </c>
    </row>
    <row r="129" spans="1:5" x14ac:dyDescent="0.3">
      <c r="A129" s="1">
        <v>46232</v>
      </c>
      <c r="B129" t="s">
        <v>264</v>
      </c>
      <c r="C129" t="str">
        <f>_xlfn.XLOOKUP(B129,'Customer Receivables'!A:A,'Customer Receivables'!B:B," ")</f>
        <v>C-055</v>
      </c>
      <c r="D129">
        <v>10000</v>
      </c>
      <c r="E129" t="s">
        <v>291</v>
      </c>
    </row>
    <row r="130" spans="1:5" x14ac:dyDescent="0.3">
      <c r="A130" s="1">
        <v>46232</v>
      </c>
      <c r="B130" t="s">
        <v>275</v>
      </c>
      <c r="C130" t="str">
        <f>_xlfn.XLOOKUP(B130,'Customer Receivables'!A:A,'Customer Receivables'!B:B," ")</f>
        <v>C-056</v>
      </c>
      <c r="D130">
        <v>1150</v>
      </c>
      <c r="E130" t="s">
        <v>291</v>
      </c>
    </row>
    <row r="131" spans="1:5" x14ac:dyDescent="0.3">
      <c r="A131" s="1">
        <v>46233</v>
      </c>
      <c r="B131" t="s">
        <v>223</v>
      </c>
      <c r="C131" t="str">
        <f>_xlfn.XLOOKUP(B131,'Customer Receivables'!A:A,'Customer Receivables'!B:B," ")</f>
        <v>C-003</v>
      </c>
      <c r="D131">
        <v>100000</v>
      </c>
      <c r="E131" t="s">
        <v>291</v>
      </c>
    </row>
    <row r="132" spans="1:5" x14ac:dyDescent="0.3">
      <c r="A132" s="1">
        <v>46233</v>
      </c>
      <c r="B132" t="s">
        <v>260</v>
      </c>
      <c r="C132" t="str">
        <f>_xlfn.XLOOKUP(B132,'Customer Receivables'!A:A,'Customer Receivables'!B:B," ")</f>
        <v>C-051</v>
      </c>
      <c r="D132">
        <v>80</v>
      </c>
      <c r="E132" t="s">
        <v>290</v>
      </c>
    </row>
    <row r="133" spans="1:5" x14ac:dyDescent="0.3">
      <c r="A133" s="1">
        <v>46233</v>
      </c>
      <c r="B133" t="s">
        <v>276</v>
      </c>
      <c r="C133" t="str">
        <f>_xlfn.XLOOKUP(B133,'Customer Receivables'!A:A,'Customer Receivables'!B:B," ")</f>
        <v>C-057</v>
      </c>
      <c r="D133">
        <v>64900</v>
      </c>
      <c r="E133" t="s">
        <v>290</v>
      </c>
    </row>
    <row r="134" spans="1:5" x14ac:dyDescent="0.3">
      <c r="A134" s="1">
        <v>46233</v>
      </c>
      <c r="B134" t="s">
        <v>226</v>
      </c>
      <c r="C134" t="str">
        <f>_xlfn.XLOOKUP(B134,'Customer Receivables'!A:A,'Customer Receivables'!B:B," ")</f>
        <v>C-012</v>
      </c>
      <c r="D134">
        <v>5000</v>
      </c>
      <c r="E134" t="s">
        <v>291</v>
      </c>
    </row>
    <row r="135" spans="1:5" x14ac:dyDescent="0.3">
      <c r="A135" s="1">
        <v>46234</v>
      </c>
      <c r="B135" t="s">
        <v>277</v>
      </c>
      <c r="C135" t="str">
        <f>_xlfn.XLOOKUP(B135,'Customer Receivables'!A:A,'Customer Receivables'!B:B," ")</f>
        <v>C-058</v>
      </c>
      <c r="D135">
        <v>31400</v>
      </c>
      <c r="E135" t="s">
        <v>290</v>
      </c>
    </row>
    <row r="136" spans="1:5" x14ac:dyDescent="0.3">
      <c r="A136" s="1">
        <v>46234</v>
      </c>
      <c r="B136" t="s">
        <v>224</v>
      </c>
      <c r="C136" t="str">
        <f>_xlfn.XLOOKUP(B136,'Customer Receivables'!A:A,'Customer Receivables'!B:B," ")</f>
        <v>C-007</v>
      </c>
      <c r="D136">
        <v>20000</v>
      </c>
      <c r="E136" t="s">
        <v>291</v>
      </c>
    </row>
    <row r="137" spans="1:5" x14ac:dyDescent="0.3">
      <c r="A137" s="1"/>
    </row>
    <row r="138" spans="1:5" x14ac:dyDescent="0.3">
      <c r="A138" s="1"/>
    </row>
    <row r="139" spans="1:5" x14ac:dyDescent="0.3">
      <c r="A139" s="1"/>
    </row>
    <row r="140" spans="1:5" x14ac:dyDescent="0.3">
      <c r="A140" s="1"/>
    </row>
    <row r="141" spans="1:5" x14ac:dyDescent="0.3">
      <c r="A141" s="1"/>
    </row>
    <row r="142" spans="1:5" x14ac:dyDescent="0.3">
      <c r="A142" s="1"/>
    </row>
    <row r="143" spans="1:5" x14ac:dyDescent="0.3">
      <c r="A143" s="1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A653-36CF-4BAE-ABD0-BF03698B8FB7}">
  <dimension ref="A1:E2"/>
  <sheetViews>
    <sheetView workbookViewId="0">
      <selection activeCell="H7" sqref="H7"/>
    </sheetView>
  </sheetViews>
  <sheetFormatPr defaultRowHeight="14.4" x14ac:dyDescent="0.3"/>
  <cols>
    <col min="2" max="2" width="12.21875" bestFit="1" customWidth="1"/>
    <col min="3" max="3" width="16.77734375" bestFit="1" customWidth="1"/>
    <col min="5" max="5" width="14.33203125" bestFit="1" customWidth="1"/>
  </cols>
  <sheetData>
    <row r="1" spans="1:5" x14ac:dyDescent="0.3">
      <c r="A1" t="s">
        <v>200</v>
      </c>
      <c r="B1" t="s">
        <v>201</v>
      </c>
      <c r="C1" t="s">
        <v>202</v>
      </c>
      <c r="D1" t="s">
        <v>203</v>
      </c>
      <c r="E1" t="s">
        <v>204</v>
      </c>
    </row>
    <row r="2" spans="1:5" x14ac:dyDescent="0.3">
      <c r="A2">
        <v>276485</v>
      </c>
      <c r="B2">
        <f>SUM(Table3[Collected Amount])</f>
        <v>1383005</v>
      </c>
      <c r="C2">
        <f>SUM(Table6[Payment Amount])</f>
        <v>1470095.6</v>
      </c>
      <c r="D2">
        <f>SUM(Table10[Amount])</f>
        <v>57955</v>
      </c>
      <c r="E2">
        <f>Table410[[#This Row],[Opening Balance]]+Table410[[#This Row],[Collections]]-Table410[[#This Row],[Supplier Payments]]-Table410[[#This Row],[Expenses]]</f>
        <v>131439.39999999991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9318-0B79-40DA-9EC3-D2FFEE0B702D}">
  <dimension ref="A1:D76"/>
  <sheetViews>
    <sheetView workbookViewId="0">
      <selection activeCell="G76" sqref="G76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3" width="25.5546875" bestFit="1" customWidth="1"/>
    <col min="4" max="4" width="17.88671875" bestFit="1" customWidth="1"/>
  </cols>
  <sheetData>
    <row r="1" spans="1:4" x14ac:dyDescent="0.3">
      <c r="A1" t="s">
        <v>176</v>
      </c>
      <c r="B1" t="s">
        <v>205</v>
      </c>
      <c r="C1" t="s">
        <v>206</v>
      </c>
      <c r="D1" t="s">
        <v>207</v>
      </c>
    </row>
    <row r="2" spans="1:4" x14ac:dyDescent="0.3">
      <c r="A2" s="1">
        <v>46175</v>
      </c>
      <c r="B2">
        <v>50</v>
      </c>
      <c r="C2" t="s">
        <v>295</v>
      </c>
      <c r="D2" t="s">
        <v>316</v>
      </c>
    </row>
    <row r="3" spans="1:4" x14ac:dyDescent="0.3">
      <c r="A3" s="1">
        <v>46175</v>
      </c>
      <c r="B3">
        <v>190</v>
      </c>
      <c r="C3" t="s">
        <v>306</v>
      </c>
      <c r="D3" t="s">
        <v>317</v>
      </c>
    </row>
    <row r="4" spans="1:4" x14ac:dyDescent="0.3">
      <c r="A4" s="1">
        <v>46177</v>
      </c>
      <c r="B4">
        <v>100</v>
      </c>
      <c r="C4" t="s">
        <v>295</v>
      </c>
      <c r="D4" t="s">
        <v>316</v>
      </c>
    </row>
    <row r="5" spans="1:4" x14ac:dyDescent="0.3">
      <c r="A5" s="1">
        <v>46177</v>
      </c>
      <c r="B5">
        <v>500</v>
      </c>
      <c r="C5" t="s">
        <v>296</v>
      </c>
      <c r="D5" t="s">
        <v>318</v>
      </c>
    </row>
    <row r="6" spans="1:4" x14ac:dyDescent="0.3">
      <c r="A6" s="1">
        <v>46178</v>
      </c>
      <c r="B6">
        <v>100</v>
      </c>
      <c r="C6" t="s">
        <v>303</v>
      </c>
      <c r="D6" t="s">
        <v>317</v>
      </c>
    </row>
    <row r="7" spans="1:4" x14ac:dyDescent="0.3">
      <c r="A7" s="1">
        <v>46178</v>
      </c>
      <c r="B7">
        <v>50</v>
      </c>
      <c r="C7" t="s">
        <v>298</v>
      </c>
      <c r="D7" t="s">
        <v>316</v>
      </c>
    </row>
    <row r="8" spans="1:4" x14ac:dyDescent="0.3">
      <c r="A8" s="1">
        <v>46179</v>
      </c>
      <c r="B8">
        <v>100</v>
      </c>
      <c r="C8" t="s">
        <v>295</v>
      </c>
      <c r="D8" t="s">
        <v>316</v>
      </c>
    </row>
    <row r="9" spans="1:4" x14ac:dyDescent="0.3">
      <c r="A9" s="1">
        <v>46179</v>
      </c>
      <c r="B9">
        <v>2000</v>
      </c>
      <c r="C9" t="s">
        <v>294</v>
      </c>
      <c r="D9" t="s">
        <v>319</v>
      </c>
    </row>
    <row r="10" spans="1:4" x14ac:dyDescent="0.3">
      <c r="A10" s="1">
        <v>46180</v>
      </c>
      <c r="B10">
        <v>100</v>
      </c>
      <c r="C10" t="s">
        <v>307</v>
      </c>
      <c r="D10" t="s">
        <v>320</v>
      </c>
    </row>
    <row r="11" spans="1:4" x14ac:dyDescent="0.3">
      <c r="A11" s="1">
        <v>46180</v>
      </c>
      <c r="B11">
        <v>50</v>
      </c>
      <c r="C11" t="s">
        <v>296</v>
      </c>
      <c r="D11" t="s">
        <v>318</v>
      </c>
    </row>
    <row r="12" spans="1:4" x14ac:dyDescent="0.3">
      <c r="A12" s="1">
        <v>46193</v>
      </c>
      <c r="B12">
        <v>1000</v>
      </c>
      <c r="C12" t="s">
        <v>294</v>
      </c>
      <c r="D12" t="s">
        <v>319</v>
      </c>
    </row>
    <row r="13" spans="1:4" x14ac:dyDescent="0.3">
      <c r="A13" s="1">
        <v>46193</v>
      </c>
      <c r="B13">
        <v>3000</v>
      </c>
      <c r="C13" t="s">
        <v>297</v>
      </c>
      <c r="D13" t="s">
        <v>319</v>
      </c>
    </row>
    <row r="14" spans="1:4" x14ac:dyDescent="0.3">
      <c r="A14" s="1">
        <v>46183</v>
      </c>
      <c r="B14">
        <v>80</v>
      </c>
      <c r="C14" t="s">
        <v>295</v>
      </c>
      <c r="D14" t="s">
        <v>316</v>
      </c>
    </row>
    <row r="15" spans="1:4" x14ac:dyDescent="0.3">
      <c r="A15" s="1">
        <v>46184</v>
      </c>
      <c r="B15">
        <v>60</v>
      </c>
      <c r="C15" t="s">
        <v>295</v>
      </c>
      <c r="D15" t="s">
        <v>316</v>
      </c>
    </row>
    <row r="16" spans="1:4" x14ac:dyDescent="0.3">
      <c r="A16" s="1">
        <v>46185</v>
      </c>
      <c r="B16">
        <v>80</v>
      </c>
      <c r="C16" t="s">
        <v>295</v>
      </c>
      <c r="D16" t="s">
        <v>316</v>
      </c>
    </row>
    <row r="17" spans="1:4" x14ac:dyDescent="0.3">
      <c r="A17" s="1">
        <v>46192</v>
      </c>
      <c r="B17">
        <v>60</v>
      </c>
      <c r="C17" t="s">
        <v>295</v>
      </c>
      <c r="D17" t="s">
        <v>316</v>
      </c>
    </row>
    <row r="18" spans="1:4" x14ac:dyDescent="0.3">
      <c r="A18" s="1">
        <v>46193</v>
      </c>
      <c r="B18">
        <v>40</v>
      </c>
      <c r="C18" t="s">
        <v>295</v>
      </c>
      <c r="D18" t="s">
        <v>316</v>
      </c>
    </row>
    <row r="19" spans="1:4" x14ac:dyDescent="0.3">
      <c r="A19" s="1">
        <v>46194</v>
      </c>
      <c r="B19">
        <v>50</v>
      </c>
      <c r="C19" t="s">
        <v>295</v>
      </c>
      <c r="D19" t="s">
        <v>316</v>
      </c>
    </row>
    <row r="20" spans="1:4" x14ac:dyDescent="0.3">
      <c r="A20" s="1">
        <v>46195</v>
      </c>
      <c r="B20">
        <v>60</v>
      </c>
      <c r="C20" t="s">
        <v>295</v>
      </c>
      <c r="D20" t="s">
        <v>316</v>
      </c>
    </row>
    <row r="21" spans="1:4" x14ac:dyDescent="0.3">
      <c r="A21" s="1">
        <v>46196</v>
      </c>
      <c r="B21">
        <v>70</v>
      </c>
      <c r="C21" t="s">
        <v>295</v>
      </c>
      <c r="D21" t="s">
        <v>316</v>
      </c>
    </row>
    <row r="22" spans="1:4" x14ac:dyDescent="0.3">
      <c r="A22" s="1">
        <v>46197</v>
      </c>
      <c r="B22">
        <v>50</v>
      </c>
      <c r="C22" t="s">
        <v>295</v>
      </c>
      <c r="D22" t="s">
        <v>316</v>
      </c>
    </row>
    <row r="23" spans="1:4" x14ac:dyDescent="0.3">
      <c r="A23" s="1">
        <v>46197</v>
      </c>
      <c r="B23">
        <v>100</v>
      </c>
      <c r="C23" t="s">
        <v>304</v>
      </c>
      <c r="D23" t="s">
        <v>317</v>
      </c>
    </row>
    <row r="24" spans="1:4" x14ac:dyDescent="0.3">
      <c r="A24" s="1">
        <v>46197</v>
      </c>
      <c r="B24">
        <v>500</v>
      </c>
      <c r="C24" t="s">
        <v>294</v>
      </c>
      <c r="D24" t="s">
        <v>319</v>
      </c>
    </row>
    <row r="25" spans="1:4" x14ac:dyDescent="0.3">
      <c r="A25" s="1">
        <v>46197</v>
      </c>
      <c r="B25">
        <v>50</v>
      </c>
      <c r="C25" t="s">
        <v>305</v>
      </c>
      <c r="D25" t="s">
        <v>321</v>
      </c>
    </row>
    <row r="26" spans="1:4" x14ac:dyDescent="0.3">
      <c r="A26" s="1">
        <v>46200</v>
      </c>
      <c r="B26">
        <v>200</v>
      </c>
      <c r="C26" t="s">
        <v>296</v>
      </c>
      <c r="D26" t="s">
        <v>318</v>
      </c>
    </row>
    <row r="27" spans="1:4" x14ac:dyDescent="0.3">
      <c r="A27" s="1">
        <v>46200</v>
      </c>
      <c r="B27">
        <v>500</v>
      </c>
      <c r="C27" t="s">
        <v>294</v>
      </c>
      <c r="D27" t="s">
        <v>319</v>
      </c>
    </row>
    <row r="28" spans="1:4" x14ac:dyDescent="0.3">
      <c r="A28" s="1">
        <v>46201</v>
      </c>
      <c r="B28">
        <v>3000</v>
      </c>
      <c r="C28" t="s">
        <v>297</v>
      </c>
      <c r="D28" t="s">
        <v>319</v>
      </c>
    </row>
    <row r="29" spans="1:4" x14ac:dyDescent="0.3">
      <c r="A29" s="1">
        <v>46201</v>
      </c>
      <c r="B29">
        <v>40</v>
      </c>
      <c r="C29" t="s">
        <v>308</v>
      </c>
      <c r="D29" t="s">
        <v>317</v>
      </c>
    </row>
    <row r="30" spans="1:4" x14ac:dyDescent="0.3">
      <c r="A30" s="1">
        <v>46201</v>
      </c>
      <c r="B30">
        <v>60</v>
      </c>
      <c r="C30" t="s">
        <v>306</v>
      </c>
      <c r="D30" t="s">
        <v>316</v>
      </c>
    </row>
    <row r="31" spans="1:4" x14ac:dyDescent="0.3">
      <c r="A31" s="1">
        <v>46203</v>
      </c>
      <c r="B31">
        <v>500</v>
      </c>
      <c r="C31" t="s">
        <v>309</v>
      </c>
      <c r="D31" t="s">
        <v>319</v>
      </c>
    </row>
    <row r="32" spans="1:4" x14ac:dyDescent="0.3">
      <c r="A32" s="1">
        <v>46203</v>
      </c>
      <c r="B32">
        <v>85</v>
      </c>
      <c r="C32" t="s">
        <v>310</v>
      </c>
      <c r="D32" t="s">
        <v>316</v>
      </c>
    </row>
    <row r="33" spans="1:4" x14ac:dyDescent="0.3">
      <c r="A33" s="1">
        <v>46204</v>
      </c>
      <c r="B33">
        <v>100</v>
      </c>
      <c r="C33" t="s">
        <v>299</v>
      </c>
      <c r="D33" t="s">
        <v>317</v>
      </c>
    </row>
    <row r="34" spans="1:4" x14ac:dyDescent="0.3">
      <c r="A34" s="1">
        <v>46204</v>
      </c>
      <c r="B34">
        <v>245</v>
      </c>
      <c r="C34" t="s">
        <v>306</v>
      </c>
      <c r="D34" t="s">
        <v>317</v>
      </c>
    </row>
    <row r="35" spans="1:4" x14ac:dyDescent="0.3">
      <c r="A35" s="1">
        <v>46205</v>
      </c>
      <c r="B35">
        <v>100</v>
      </c>
      <c r="C35" t="s">
        <v>305</v>
      </c>
      <c r="D35" t="s">
        <v>321</v>
      </c>
    </row>
    <row r="36" spans="1:4" x14ac:dyDescent="0.3">
      <c r="A36" s="1">
        <v>46205</v>
      </c>
      <c r="B36">
        <v>200</v>
      </c>
      <c r="C36" t="s">
        <v>295</v>
      </c>
      <c r="D36" t="s">
        <v>316</v>
      </c>
    </row>
    <row r="37" spans="1:4" x14ac:dyDescent="0.3">
      <c r="A37" s="1">
        <v>46207</v>
      </c>
      <c r="B37">
        <v>100</v>
      </c>
      <c r="C37" t="s">
        <v>295</v>
      </c>
      <c r="D37" t="s">
        <v>316</v>
      </c>
    </row>
    <row r="38" spans="1:4" x14ac:dyDescent="0.3">
      <c r="A38" s="1">
        <v>46207</v>
      </c>
      <c r="B38">
        <v>1500</v>
      </c>
      <c r="C38" t="s">
        <v>294</v>
      </c>
      <c r="D38" t="s">
        <v>319</v>
      </c>
    </row>
    <row r="39" spans="1:4" x14ac:dyDescent="0.3">
      <c r="A39" s="1">
        <v>46209</v>
      </c>
      <c r="B39">
        <v>100</v>
      </c>
      <c r="C39" t="s">
        <v>295</v>
      </c>
      <c r="D39" t="s">
        <v>316</v>
      </c>
    </row>
    <row r="40" spans="1:4" x14ac:dyDescent="0.3">
      <c r="A40" s="1">
        <v>46209</v>
      </c>
      <c r="B40">
        <v>1000</v>
      </c>
      <c r="C40" t="s">
        <v>294</v>
      </c>
      <c r="D40" t="s">
        <v>319</v>
      </c>
    </row>
    <row r="41" spans="1:4" x14ac:dyDescent="0.3">
      <c r="A41" s="1">
        <v>46211</v>
      </c>
      <c r="B41">
        <v>2000</v>
      </c>
      <c r="C41" t="s">
        <v>297</v>
      </c>
      <c r="D41" t="s">
        <v>319</v>
      </c>
    </row>
    <row r="42" spans="1:4" x14ac:dyDescent="0.3">
      <c r="A42" s="1">
        <v>46211</v>
      </c>
      <c r="B42">
        <v>100</v>
      </c>
      <c r="C42" t="s">
        <v>315</v>
      </c>
      <c r="D42" t="s">
        <v>320</v>
      </c>
    </row>
    <row r="43" spans="1:4" x14ac:dyDescent="0.3">
      <c r="A43" s="1">
        <v>46212</v>
      </c>
      <c r="B43">
        <v>100</v>
      </c>
      <c r="C43" t="s">
        <v>295</v>
      </c>
      <c r="D43" t="s">
        <v>316</v>
      </c>
    </row>
    <row r="44" spans="1:4" x14ac:dyDescent="0.3">
      <c r="A44" s="1">
        <v>46212</v>
      </c>
      <c r="B44">
        <v>1000</v>
      </c>
      <c r="C44" t="s">
        <v>294</v>
      </c>
      <c r="D44" t="s">
        <v>319</v>
      </c>
    </row>
    <row r="45" spans="1:4" x14ac:dyDescent="0.3">
      <c r="A45" s="1">
        <v>46215</v>
      </c>
      <c r="B45">
        <v>1000</v>
      </c>
      <c r="C45" t="s">
        <v>294</v>
      </c>
      <c r="D45" t="s">
        <v>319</v>
      </c>
    </row>
    <row r="46" spans="1:4" x14ac:dyDescent="0.3">
      <c r="A46" s="1">
        <v>46220</v>
      </c>
      <c r="B46">
        <v>500</v>
      </c>
      <c r="C46" t="s">
        <v>294</v>
      </c>
      <c r="D46" t="s">
        <v>319</v>
      </c>
    </row>
    <row r="47" spans="1:4" x14ac:dyDescent="0.3">
      <c r="A47" s="1">
        <v>46220</v>
      </c>
      <c r="B47">
        <v>4950</v>
      </c>
      <c r="C47" t="s">
        <v>223</v>
      </c>
      <c r="D47" t="s">
        <v>318</v>
      </c>
    </row>
    <row r="48" spans="1:4" x14ac:dyDescent="0.3">
      <c r="A48" s="1">
        <v>46221</v>
      </c>
      <c r="B48">
        <v>95</v>
      </c>
      <c r="C48" t="s">
        <v>311</v>
      </c>
      <c r="D48" t="s">
        <v>320</v>
      </c>
    </row>
    <row r="49" spans="1:4" x14ac:dyDescent="0.3">
      <c r="A49" s="1">
        <v>46221</v>
      </c>
      <c r="B49">
        <v>70</v>
      </c>
      <c r="C49" t="s">
        <v>295</v>
      </c>
      <c r="D49" t="s">
        <v>316</v>
      </c>
    </row>
    <row r="50" spans="1:4" x14ac:dyDescent="0.3">
      <c r="A50" s="1">
        <v>46222</v>
      </c>
      <c r="B50">
        <v>300</v>
      </c>
      <c r="C50" t="s">
        <v>223</v>
      </c>
      <c r="D50" t="s">
        <v>318</v>
      </c>
    </row>
    <row r="51" spans="1:4" x14ac:dyDescent="0.3">
      <c r="A51" s="1">
        <v>46222</v>
      </c>
      <c r="B51">
        <v>50</v>
      </c>
      <c r="C51" t="s">
        <v>295</v>
      </c>
      <c r="D51" t="s">
        <v>316</v>
      </c>
    </row>
    <row r="52" spans="1:4" x14ac:dyDescent="0.3">
      <c r="A52" s="1">
        <v>46223</v>
      </c>
      <c r="B52">
        <v>70</v>
      </c>
      <c r="C52" t="s">
        <v>295</v>
      </c>
      <c r="D52" t="s">
        <v>316</v>
      </c>
    </row>
    <row r="53" spans="1:4" x14ac:dyDescent="0.3">
      <c r="A53" s="1">
        <v>46211</v>
      </c>
      <c r="B53">
        <v>4000</v>
      </c>
      <c r="C53" s="27" t="s">
        <v>312</v>
      </c>
      <c r="D53" t="s">
        <v>320</v>
      </c>
    </row>
    <row r="54" spans="1:4" x14ac:dyDescent="0.3">
      <c r="A54" s="1">
        <v>46211</v>
      </c>
      <c r="B54">
        <v>14400</v>
      </c>
      <c r="C54" s="27" t="s">
        <v>312</v>
      </c>
      <c r="D54" t="s">
        <v>320</v>
      </c>
    </row>
    <row r="55" spans="1:4" x14ac:dyDescent="0.3">
      <c r="A55" s="1">
        <v>46211</v>
      </c>
      <c r="B55">
        <v>1500</v>
      </c>
      <c r="C55" t="s">
        <v>313</v>
      </c>
      <c r="D55" t="s">
        <v>320</v>
      </c>
    </row>
    <row r="56" spans="1:4" x14ac:dyDescent="0.3">
      <c r="A56" s="1">
        <v>46211</v>
      </c>
      <c r="B56">
        <v>800</v>
      </c>
      <c r="C56" t="s">
        <v>314</v>
      </c>
      <c r="D56" t="s">
        <v>320</v>
      </c>
    </row>
    <row r="57" spans="1:4" x14ac:dyDescent="0.3">
      <c r="A57" s="1">
        <v>46211</v>
      </c>
      <c r="B57">
        <v>500</v>
      </c>
      <c r="C57" t="s">
        <v>315</v>
      </c>
      <c r="D57" t="s">
        <v>320</v>
      </c>
    </row>
    <row r="58" spans="1:4" x14ac:dyDescent="0.3">
      <c r="A58" s="1">
        <v>46211</v>
      </c>
      <c r="B58">
        <v>1000</v>
      </c>
      <c r="C58" t="s">
        <v>315</v>
      </c>
      <c r="D58" t="s">
        <v>320</v>
      </c>
    </row>
    <row r="59" spans="1:4" x14ac:dyDescent="0.3">
      <c r="A59" s="1">
        <v>46224</v>
      </c>
      <c r="B59">
        <v>500</v>
      </c>
      <c r="C59" t="s">
        <v>294</v>
      </c>
      <c r="D59" t="s">
        <v>319</v>
      </c>
    </row>
    <row r="60" spans="1:4" x14ac:dyDescent="0.3">
      <c r="A60" s="1">
        <v>46224</v>
      </c>
      <c r="B60">
        <v>65</v>
      </c>
      <c r="C60" t="s">
        <v>295</v>
      </c>
      <c r="D60" t="s">
        <v>316</v>
      </c>
    </row>
    <row r="61" spans="1:4" x14ac:dyDescent="0.3">
      <c r="A61" s="1">
        <v>46225</v>
      </c>
      <c r="B61">
        <v>110</v>
      </c>
      <c r="C61" t="s">
        <v>302</v>
      </c>
      <c r="D61" t="s">
        <v>316</v>
      </c>
    </row>
    <row r="62" spans="1:4" x14ac:dyDescent="0.3">
      <c r="A62" s="1">
        <v>46226</v>
      </c>
      <c r="B62">
        <v>50</v>
      </c>
      <c r="C62" t="s">
        <v>295</v>
      </c>
      <c r="D62" t="s">
        <v>316</v>
      </c>
    </row>
    <row r="63" spans="1:4" x14ac:dyDescent="0.3">
      <c r="A63" s="1">
        <v>46228</v>
      </c>
      <c r="B63">
        <v>1000</v>
      </c>
      <c r="C63" t="s">
        <v>294</v>
      </c>
      <c r="D63" t="s">
        <v>319</v>
      </c>
    </row>
    <row r="64" spans="1:4" x14ac:dyDescent="0.3">
      <c r="A64" s="1">
        <v>46228</v>
      </c>
      <c r="B64">
        <v>2500</v>
      </c>
      <c r="C64" t="s">
        <v>297</v>
      </c>
      <c r="D64" t="s">
        <v>319</v>
      </c>
    </row>
    <row r="65" spans="1:4" x14ac:dyDescent="0.3">
      <c r="A65" s="1">
        <v>46228</v>
      </c>
      <c r="B65">
        <v>2000</v>
      </c>
      <c r="C65" t="s">
        <v>301</v>
      </c>
      <c r="D65" t="s">
        <v>320</v>
      </c>
    </row>
    <row r="66" spans="1:4" x14ac:dyDescent="0.3">
      <c r="A66" s="1">
        <v>46229</v>
      </c>
      <c r="B66">
        <v>75</v>
      </c>
      <c r="C66" t="s">
        <v>295</v>
      </c>
      <c r="D66" t="s">
        <v>316</v>
      </c>
    </row>
    <row r="67" spans="1:4" x14ac:dyDescent="0.3">
      <c r="A67" s="1">
        <v>46230</v>
      </c>
      <c r="B67">
        <v>100</v>
      </c>
      <c r="C67" t="s">
        <v>295</v>
      </c>
      <c r="D67" t="s">
        <v>316</v>
      </c>
    </row>
    <row r="68" spans="1:4" x14ac:dyDescent="0.3">
      <c r="A68" s="1">
        <v>46231</v>
      </c>
      <c r="B68">
        <v>2000</v>
      </c>
      <c r="C68" t="s">
        <v>300</v>
      </c>
      <c r="D68" t="s">
        <v>318</v>
      </c>
    </row>
    <row r="69" spans="1:4" x14ac:dyDescent="0.3">
      <c r="A69" s="1">
        <v>46231</v>
      </c>
      <c r="B69">
        <v>100</v>
      </c>
      <c r="C69" t="s">
        <v>295</v>
      </c>
      <c r="D69" t="s">
        <v>316</v>
      </c>
    </row>
    <row r="70" spans="1:4" x14ac:dyDescent="0.3">
      <c r="A70" s="1">
        <v>46232</v>
      </c>
      <c r="B70">
        <v>100</v>
      </c>
      <c r="C70" t="s">
        <v>295</v>
      </c>
      <c r="D70" t="s">
        <v>316</v>
      </c>
    </row>
    <row r="71" spans="1:4" x14ac:dyDescent="0.3">
      <c r="A71" s="1">
        <v>46232</v>
      </c>
      <c r="B71">
        <v>700</v>
      </c>
      <c r="C71" t="s">
        <v>294</v>
      </c>
      <c r="D71" t="s">
        <v>319</v>
      </c>
    </row>
    <row r="72" spans="1:4" x14ac:dyDescent="0.3">
      <c r="A72" s="1">
        <v>46233</v>
      </c>
      <c r="B72">
        <v>50</v>
      </c>
      <c r="C72" t="s">
        <v>305</v>
      </c>
      <c r="D72" t="s">
        <v>321</v>
      </c>
    </row>
    <row r="73" spans="1:4" x14ac:dyDescent="0.3">
      <c r="A73" s="1"/>
    </row>
    <row r="74" spans="1:4" x14ac:dyDescent="0.3">
      <c r="A74" s="1"/>
    </row>
    <row r="75" spans="1:4" x14ac:dyDescent="0.3">
      <c r="A75" s="1"/>
    </row>
    <row r="76" spans="1:4" x14ac:dyDescent="0.3">
      <c r="A7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6F92-C19C-4C75-9021-42F2E51007BD}">
  <dimension ref="A1:F62"/>
  <sheetViews>
    <sheetView workbookViewId="0">
      <selection activeCell="E71" sqref="E71"/>
    </sheetView>
  </sheetViews>
  <sheetFormatPr defaultRowHeight="14.4" x14ac:dyDescent="0.3"/>
  <cols>
    <col min="1" max="1" width="16.77734375" bestFit="1" customWidth="1"/>
    <col min="2" max="2" width="13.44140625" bestFit="1" customWidth="1"/>
    <col min="3" max="3" width="12.21875" bestFit="1" customWidth="1"/>
    <col min="4" max="4" width="17.21875" bestFit="1" customWidth="1"/>
    <col min="5" max="5" width="16" bestFit="1" customWidth="1"/>
    <col min="6" max="6" width="20.5546875" bestFit="1" customWidth="1"/>
  </cols>
  <sheetData>
    <row r="1" spans="1:6" x14ac:dyDescent="0.3">
      <c r="A1" t="s">
        <v>177</v>
      </c>
      <c r="B1" t="s">
        <v>178</v>
      </c>
      <c r="C1" t="s">
        <v>208</v>
      </c>
      <c r="D1" t="s">
        <v>200</v>
      </c>
      <c r="E1" t="s">
        <v>209</v>
      </c>
      <c r="F1" t="s">
        <v>210</v>
      </c>
    </row>
    <row r="2" spans="1:6" hidden="1" x14ac:dyDescent="0.3">
      <c r="A2" s="2" t="s">
        <v>222</v>
      </c>
      <c r="B2" t="s">
        <v>45</v>
      </c>
      <c r="C2">
        <f>SUMIF(Table1[Customer ID],'Customer Receivables'!B2,Table1[Agreed Amount])</f>
        <v>46800</v>
      </c>
      <c r="D2">
        <f>SUMIF('Opening Receivables'!C:C,'Customer Receivables'!B2,'Opening Receivables'!D:D)</f>
        <v>0</v>
      </c>
      <c r="E2">
        <f>SUMIF(Table3[Customer ID],'Customer Receivables'!B2,Table3[Collected Amount])</f>
        <v>46800</v>
      </c>
      <c r="F2">
        <f t="shared" ref="F2:F34" si="0">C2+D2-E2</f>
        <v>0</v>
      </c>
    </row>
    <row r="3" spans="1:6" x14ac:dyDescent="0.3">
      <c r="A3" s="2" t="s">
        <v>265</v>
      </c>
      <c r="B3" t="s">
        <v>46</v>
      </c>
      <c r="C3">
        <f>SUMIF(Table1[Customer ID],'Customer Receivables'!B3,Table1[Agreed Amount])</f>
        <v>140110</v>
      </c>
      <c r="D3">
        <f>SUMIF('Opening Receivables'!C:C,'Customer Receivables'!B3,'Opening Receivables'!D:D)</f>
        <v>-57400</v>
      </c>
      <c r="E3">
        <f>SUMIF(Table3[Customer ID],'Customer Receivables'!B3,Table3[Collected Amount])</f>
        <v>40000</v>
      </c>
      <c r="F3">
        <f t="shared" si="0"/>
        <v>42710</v>
      </c>
    </row>
    <row r="4" spans="1:6" x14ac:dyDescent="0.3">
      <c r="A4" s="2" t="s">
        <v>223</v>
      </c>
      <c r="B4" t="s">
        <v>47</v>
      </c>
      <c r="C4">
        <f>SUMIF(Table1[Customer ID],'Customer Receivables'!B4,Table1[Agreed Amount])</f>
        <v>332440</v>
      </c>
      <c r="D4">
        <f>SUMIF('Opening Receivables'!C:C,'Customer Receivables'!B4,'Opening Receivables'!D:D)</f>
        <v>42560</v>
      </c>
      <c r="E4">
        <f>SUMIF(Table3[Customer ID],'Customer Receivables'!B4,Table3[Collected Amount])</f>
        <v>156000</v>
      </c>
      <c r="F4">
        <f t="shared" si="0"/>
        <v>219000</v>
      </c>
    </row>
    <row r="5" spans="1:6" hidden="1" x14ac:dyDescent="0.3">
      <c r="A5" s="2" t="s">
        <v>266</v>
      </c>
      <c r="B5" t="s">
        <v>48</v>
      </c>
      <c r="C5">
        <f>SUMIF(Table1[Customer ID],'Customer Receivables'!B5,Table1[Agreed Amount])</f>
        <v>19785</v>
      </c>
      <c r="D5">
        <f>SUMIF('Opening Receivables'!C:C,'Customer Receivables'!B5,'Opening Receivables'!D:D)</f>
        <v>0</v>
      </c>
      <c r="E5">
        <f>SUMIF(Table3[Customer ID],'Customer Receivables'!B5,Table3[Collected Amount])</f>
        <v>19785</v>
      </c>
      <c r="F5">
        <f t="shared" si="0"/>
        <v>0</v>
      </c>
    </row>
    <row r="6" spans="1:6" x14ac:dyDescent="0.3">
      <c r="A6" s="2" t="s">
        <v>267</v>
      </c>
      <c r="B6" t="s">
        <v>49</v>
      </c>
      <c r="C6">
        <f>SUMIF(Table1[Customer ID],'Customer Receivables'!B6,Table1[Agreed Amount])</f>
        <v>56650</v>
      </c>
      <c r="D6">
        <f>SUMIF('Opening Receivables'!C:C,'Customer Receivables'!B6,'Opening Receivables'!D:D)</f>
        <v>2350</v>
      </c>
      <c r="E6">
        <f>SUMIF(Table3[Customer ID],'Customer Receivables'!B6,Table3[Collected Amount])</f>
        <v>50600</v>
      </c>
      <c r="F6">
        <f t="shared" si="0"/>
        <v>8400</v>
      </c>
    </row>
    <row r="7" spans="1:6" x14ac:dyDescent="0.3">
      <c r="A7" s="2" t="s">
        <v>224</v>
      </c>
      <c r="B7" t="s">
        <v>50</v>
      </c>
      <c r="C7">
        <f>SUMIF(Table1[Customer ID],'Customer Receivables'!B7,Table1[Agreed Amount])</f>
        <v>185000</v>
      </c>
      <c r="D7">
        <f>SUMIF('Opening Receivables'!C:C,'Customer Receivables'!B7,'Opening Receivables'!D:D)</f>
        <v>49200</v>
      </c>
      <c r="E7">
        <f>SUMIF(Table3[Customer ID],'Customer Receivables'!B7,Table3[Collected Amount])</f>
        <v>225200</v>
      </c>
      <c r="F7">
        <f t="shared" si="0"/>
        <v>9000</v>
      </c>
    </row>
    <row r="8" spans="1:6" hidden="1" x14ac:dyDescent="0.3">
      <c r="A8" s="2" t="s">
        <v>268</v>
      </c>
      <c r="B8" t="s">
        <v>51</v>
      </c>
      <c r="C8">
        <f>SUMIF(Table1[Customer ID],'Customer Receivables'!B8,Table1[Agreed Amount])</f>
        <v>6670</v>
      </c>
      <c r="D8">
        <f>SUMIF('Opening Receivables'!C:C,'Customer Receivables'!B8,'Opening Receivables'!D:D)</f>
        <v>0</v>
      </c>
      <c r="E8">
        <f>SUMIF(Table3[Customer ID],'Customer Receivables'!B8,Table3[Collected Amount])</f>
        <v>6670</v>
      </c>
      <c r="F8">
        <f t="shared" si="0"/>
        <v>0</v>
      </c>
    </row>
    <row r="9" spans="1:6" hidden="1" x14ac:dyDescent="0.3">
      <c r="A9" s="2" t="s">
        <v>269</v>
      </c>
      <c r="B9" t="s">
        <v>52</v>
      </c>
      <c r="C9">
        <f>SUMIF(Table1[Customer ID],'Customer Receivables'!B9,Table1[Agreed Amount])</f>
        <v>8000</v>
      </c>
      <c r="D9">
        <f>SUMIF('Opening Receivables'!C:C,'Customer Receivables'!B9,'Opening Receivables'!D:D)</f>
        <v>0</v>
      </c>
      <c r="E9">
        <f>SUMIF(Table3[Customer ID],'Customer Receivables'!B9,Table3[Collected Amount])</f>
        <v>8000</v>
      </c>
      <c r="F9">
        <f t="shared" si="0"/>
        <v>0</v>
      </c>
    </row>
    <row r="10" spans="1:6" hidden="1" x14ac:dyDescent="0.3">
      <c r="A10" s="2" t="s">
        <v>225</v>
      </c>
      <c r="B10" t="s">
        <v>53</v>
      </c>
      <c r="C10">
        <f>SUMIF(Table1[Customer ID],'Customer Receivables'!B10,Table1[Agreed Amount])</f>
        <v>21600</v>
      </c>
      <c r="D10">
        <f>SUMIF('Opening Receivables'!C:C,'Customer Receivables'!B10,'Opening Receivables'!D:D)</f>
        <v>0</v>
      </c>
      <c r="E10">
        <f>SUMIF(Table3[Customer ID],'Customer Receivables'!B10,Table3[Collected Amount])</f>
        <v>21600</v>
      </c>
      <c r="F10">
        <f t="shared" si="0"/>
        <v>0</v>
      </c>
    </row>
    <row r="11" spans="1:6" x14ac:dyDescent="0.3">
      <c r="A11" s="2" t="s">
        <v>270</v>
      </c>
      <c r="B11" t="s">
        <v>54</v>
      </c>
      <c r="C11">
        <f>SUMIF(Table1[Customer ID],'Customer Receivables'!B11,Table1[Agreed Amount])</f>
        <v>28820</v>
      </c>
      <c r="D11">
        <f>SUMIF('Opening Receivables'!C:C,'Customer Receivables'!B11,'Opening Receivables'!D:D)</f>
        <v>0</v>
      </c>
      <c r="E11">
        <f>SUMIF(Table3[Customer ID],'Customer Receivables'!B11,Table3[Collected Amount])</f>
        <v>22465</v>
      </c>
      <c r="F11">
        <f t="shared" si="0"/>
        <v>6355</v>
      </c>
    </row>
    <row r="12" spans="1:6" x14ac:dyDescent="0.3">
      <c r="A12" s="2" t="s">
        <v>226</v>
      </c>
      <c r="B12" t="s">
        <v>55</v>
      </c>
      <c r="C12">
        <f>SUMIF(Table1[Customer ID],'Customer Receivables'!B12,Table1[Agreed Amount])</f>
        <v>21875</v>
      </c>
      <c r="D12">
        <f>SUMIF('Opening Receivables'!C:C,'Customer Receivables'!B12,'Opening Receivables'!D:D)</f>
        <v>0</v>
      </c>
      <c r="E12">
        <f>SUMIF(Table3[Customer ID],'Customer Receivables'!B12,Table3[Collected Amount])</f>
        <v>21275</v>
      </c>
      <c r="F12">
        <f t="shared" si="0"/>
        <v>600</v>
      </c>
    </row>
    <row r="13" spans="1:6" hidden="1" x14ac:dyDescent="0.3">
      <c r="A13" s="2" t="s">
        <v>227</v>
      </c>
      <c r="B13" t="s">
        <v>56</v>
      </c>
      <c r="C13">
        <f>SUMIF(Table1[Customer ID],'Customer Receivables'!B13,Table1[Agreed Amount])</f>
        <v>41600</v>
      </c>
      <c r="D13">
        <f>SUMIF('Opening Receivables'!C:C,'Customer Receivables'!B13,'Opening Receivables'!D:D)</f>
        <v>0</v>
      </c>
      <c r="E13">
        <f>SUMIF(Table3[Customer ID],'Customer Receivables'!B13,Table3[Collected Amount])</f>
        <v>41600</v>
      </c>
      <c r="F13">
        <f t="shared" si="0"/>
        <v>0</v>
      </c>
    </row>
    <row r="14" spans="1:6" hidden="1" x14ac:dyDescent="0.3">
      <c r="A14" s="2" t="s">
        <v>271</v>
      </c>
      <c r="B14" t="s">
        <v>57</v>
      </c>
      <c r="C14">
        <f>SUMIF(Table1[Customer ID],'Customer Receivables'!B14,Table1[Agreed Amount])</f>
        <v>10500</v>
      </c>
      <c r="D14">
        <f>SUMIF('Opening Receivables'!C:C,'Customer Receivables'!B14,'Opening Receivables'!D:D)</f>
        <v>0</v>
      </c>
      <c r="E14">
        <f>SUMIF(Table3[Customer ID],'Customer Receivables'!B14,Table3[Collected Amount])</f>
        <v>10500</v>
      </c>
      <c r="F14">
        <f t="shared" si="0"/>
        <v>0</v>
      </c>
    </row>
    <row r="15" spans="1:6" hidden="1" x14ac:dyDescent="0.3">
      <c r="A15" s="2" t="s">
        <v>228</v>
      </c>
      <c r="B15" t="s">
        <v>58</v>
      </c>
      <c r="C15">
        <f>SUMIF(Table1[Customer ID],'Customer Receivables'!B15,Table1[Agreed Amount])</f>
        <v>19350</v>
      </c>
      <c r="D15">
        <f>SUMIF('Opening Receivables'!C:C,'Customer Receivables'!B15,'Opening Receivables'!D:D)</f>
        <v>0</v>
      </c>
      <c r="E15">
        <f>SUMIF(Table3[Customer ID],'Customer Receivables'!B15,Table3[Collected Amount])</f>
        <v>19350</v>
      </c>
      <c r="F15">
        <f t="shared" si="0"/>
        <v>0</v>
      </c>
    </row>
    <row r="16" spans="1:6" hidden="1" x14ac:dyDescent="0.3">
      <c r="A16" s="2" t="s">
        <v>229</v>
      </c>
      <c r="B16" t="s">
        <v>59</v>
      </c>
      <c r="C16">
        <f>SUMIF(Table1[Customer ID],'Customer Receivables'!B16,Table1[Agreed Amount])</f>
        <v>7850</v>
      </c>
      <c r="D16">
        <f>SUMIF('Opening Receivables'!C:C,'Customer Receivables'!B16,'Opening Receivables'!D:D)</f>
        <v>0</v>
      </c>
      <c r="E16">
        <f>SUMIF(Table3[Customer ID],'Customer Receivables'!B16,Table3[Collected Amount])</f>
        <v>7850</v>
      </c>
      <c r="F16">
        <f t="shared" si="0"/>
        <v>0</v>
      </c>
    </row>
    <row r="17" spans="1:6" hidden="1" x14ac:dyDescent="0.3">
      <c r="A17" s="2" t="s">
        <v>230</v>
      </c>
      <c r="B17" t="s">
        <v>60</v>
      </c>
      <c r="C17">
        <f>SUMIF(Table1[Customer ID],'Customer Receivables'!B17,Table1[Agreed Amount])</f>
        <v>430</v>
      </c>
      <c r="D17">
        <f>SUMIF('Opening Receivables'!C:C,'Customer Receivables'!B17,'Opening Receivables'!D:D)</f>
        <v>0</v>
      </c>
      <c r="E17">
        <f>SUMIF(Table3[Customer ID],'Customer Receivables'!B17,Table3[Collected Amount])</f>
        <v>430</v>
      </c>
      <c r="F17">
        <f t="shared" si="0"/>
        <v>0</v>
      </c>
    </row>
    <row r="18" spans="1:6" hidden="1" x14ac:dyDescent="0.3">
      <c r="A18" s="2" t="s">
        <v>231</v>
      </c>
      <c r="B18" t="s">
        <v>61</v>
      </c>
      <c r="C18">
        <f>SUMIF(Table1[Customer ID],'Customer Receivables'!B18,Table1[Agreed Amount])</f>
        <v>5750</v>
      </c>
      <c r="D18">
        <f>SUMIF('Opening Receivables'!C:C,'Customer Receivables'!B18,'Opening Receivables'!D:D)</f>
        <v>0</v>
      </c>
      <c r="E18">
        <f>SUMIF(Table3[Customer ID],'Customer Receivables'!B18,Table3[Collected Amount])</f>
        <v>5750</v>
      </c>
      <c r="F18">
        <f t="shared" si="0"/>
        <v>0</v>
      </c>
    </row>
    <row r="19" spans="1:6" hidden="1" x14ac:dyDescent="0.3">
      <c r="A19" s="2" t="s">
        <v>233</v>
      </c>
      <c r="B19" t="s">
        <v>62</v>
      </c>
      <c r="C19">
        <f>SUMIF(Table1[Customer ID],'Customer Receivables'!B19,Table1[Agreed Amount])</f>
        <v>1300</v>
      </c>
      <c r="D19">
        <f>SUMIF('Opening Receivables'!C:C,'Customer Receivables'!B19,'Opening Receivables'!D:D)</f>
        <v>0</v>
      </c>
      <c r="E19">
        <f>SUMIF(Table3[Customer ID],'Customer Receivables'!B19,Table3[Collected Amount])</f>
        <v>1300</v>
      </c>
      <c r="F19">
        <f t="shared" si="0"/>
        <v>0</v>
      </c>
    </row>
    <row r="20" spans="1:6" hidden="1" x14ac:dyDescent="0.3">
      <c r="A20" s="2" t="s">
        <v>234</v>
      </c>
      <c r="B20" t="s">
        <v>63</v>
      </c>
      <c r="C20">
        <f>SUMIF(Table1[Customer ID],'Customer Receivables'!B20,Table1[Agreed Amount])</f>
        <v>21000</v>
      </c>
      <c r="D20">
        <f>SUMIF('Opening Receivables'!C:C,'Customer Receivables'!B20,'Opening Receivables'!D:D)</f>
        <v>0</v>
      </c>
      <c r="E20">
        <f>SUMIF(Table3[Customer ID],'Customer Receivables'!B20,Table3[Collected Amount])</f>
        <v>21000</v>
      </c>
      <c r="F20">
        <f>C20+D20-E20</f>
        <v>0</v>
      </c>
    </row>
    <row r="21" spans="1:6" hidden="1" x14ac:dyDescent="0.3">
      <c r="A21" s="2" t="s">
        <v>235</v>
      </c>
      <c r="B21" t="s">
        <v>64</v>
      </c>
      <c r="C21">
        <f>SUMIF(Table1[Customer ID],'Customer Receivables'!B21,Table1[Agreed Amount])</f>
        <v>390</v>
      </c>
      <c r="D21">
        <f>SUMIF('Opening Receivables'!C:C,'Customer Receivables'!B21,'Opening Receivables'!D:D)</f>
        <v>0</v>
      </c>
      <c r="E21">
        <f>SUMIF(Table3[Customer ID],'Customer Receivables'!B21,Table3[Collected Amount])</f>
        <v>390</v>
      </c>
      <c r="F21">
        <f t="shared" si="0"/>
        <v>0</v>
      </c>
    </row>
    <row r="22" spans="1:6" hidden="1" x14ac:dyDescent="0.3">
      <c r="A22" s="2" t="s">
        <v>236</v>
      </c>
      <c r="B22" t="s">
        <v>65</v>
      </c>
      <c r="C22">
        <f>SUMIF(Table1[Customer ID],'Customer Receivables'!B22,Table1[Agreed Amount])</f>
        <v>5550</v>
      </c>
      <c r="D22">
        <f>SUMIF('Opening Receivables'!C:C,'Customer Receivables'!B22,'Opening Receivables'!D:D)</f>
        <v>0</v>
      </c>
      <c r="E22">
        <f>SUMIF(Table3[Customer ID],'Customer Receivables'!B22,Table3[Collected Amount])</f>
        <v>5550</v>
      </c>
      <c r="F22">
        <f t="shared" si="0"/>
        <v>0</v>
      </c>
    </row>
    <row r="23" spans="1:6" hidden="1" x14ac:dyDescent="0.3">
      <c r="A23" s="2" t="s">
        <v>237</v>
      </c>
      <c r="B23" t="s">
        <v>66</v>
      </c>
      <c r="C23">
        <f>SUMIF(Table1[Customer ID],'Customer Receivables'!B23,Table1[Agreed Amount])</f>
        <v>145</v>
      </c>
      <c r="D23">
        <f>SUMIF('Opening Receivables'!C:C,'Customer Receivables'!B23,'Opening Receivables'!D:D)</f>
        <v>0</v>
      </c>
      <c r="E23">
        <f>SUMIF(Table3[Customer ID],'Customer Receivables'!B23,Table3[Collected Amount])</f>
        <v>145</v>
      </c>
      <c r="F23">
        <f t="shared" si="0"/>
        <v>0</v>
      </c>
    </row>
    <row r="24" spans="1:6" hidden="1" x14ac:dyDescent="0.3">
      <c r="A24" s="2" t="s">
        <v>238</v>
      </c>
      <c r="B24" t="s">
        <v>67</v>
      </c>
      <c r="C24">
        <f>SUMIF(Table1[Customer ID],'Customer Receivables'!B24,Table1[Agreed Amount])</f>
        <v>26700</v>
      </c>
      <c r="D24">
        <f>SUMIF('Opening Receivables'!C:C,'Customer Receivables'!B24,'Opening Receivables'!D:D)</f>
        <v>0</v>
      </c>
      <c r="E24">
        <f>SUMIF(Table3[Customer ID],'Customer Receivables'!B24,Table3[Collected Amount])</f>
        <v>26700</v>
      </c>
      <c r="F24">
        <f t="shared" si="0"/>
        <v>0</v>
      </c>
    </row>
    <row r="25" spans="1:6" hidden="1" x14ac:dyDescent="0.3">
      <c r="A25" s="2" t="s">
        <v>239</v>
      </c>
      <c r="B25" t="s">
        <v>68</v>
      </c>
      <c r="C25">
        <f>SUMIF(Table1[Customer ID],'Customer Receivables'!B25,Table1[Agreed Amount])</f>
        <v>1730</v>
      </c>
      <c r="D25">
        <f>SUMIF('Opening Receivables'!C:C,'Customer Receivables'!B25,'Opening Receivables'!D:D)</f>
        <v>0</v>
      </c>
      <c r="E25">
        <f>SUMIF(Table3[Customer ID],'Customer Receivables'!B25,Table3[Collected Amount])</f>
        <v>1730</v>
      </c>
      <c r="F25">
        <f t="shared" si="0"/>
        <v>0</v>
      </c>
    </row>
    <row r="26" spans="1:6" x14ac:dyDescent="0.3">
      <c r="A26" s="2" t="s">
        <v>272</v>
      </c>
      <c r="B26" t="s">
        <v>69</v>
      </c>
      <c r="C26">
        <f>SUMIF(Table1[Customer ID],'Customer Receivables'!B26,Table1[Agreed Amount])</f>
        <v>19800</v>
      </c>
      <c r="D26">
        <f>SUMIF('Opening Receivables'!C:C,'Customer Receivables'!B26,'Opening Receivables'!D:D)</f>
        <v>0</v>
      </c>
      <c r="E26">
        <f>SUMIF(Table3[Customer ID],'Customer Receivables'!B26,Table3[Collected Amount])</f>
        <v>18000</v>
      </c>
      <c r="F26">
        <f t="shared" si="0"/>
        <v>1800</v>
      </c>
    </row>
    <row r="27" spans="1:6" x14ac:dyDescent="0.3">
      <c r="A27" s="2" t="s">
        <v>240</v>
      </c>
      <c r="B27" t="s">
        <v>70</v>
      </c>
      <c r="C27">
        <f>SUMIF(Table1[Customer ID],'Customer Receivables'!B27,Table1[Agreed Amount])</f>
        <v>142560</v>
      </c>
      <c r="D27">
        <f>SUMIF('Opening Receivables'!C:C,'Customer Receivables'!B27,'Opening Receivables'!D:D)</f>
        <v>9000</v>
      </c>
      <c r="E27">
        <f>SUMIF(Table3[Customer ID],'Customer Receivables'!B27,Table3[Collected Amount])</f>
        <v>142000</v>
      </c>
      <c r="F27">
        <f t="shared" si="0"/>
        <v>9560</v>
      </c>
    </row>
    <row r="28" spans="1:6" hidden="1" x14ac:dyDescent="0.3">
      <c r="A28" s="2" t="s">
        <v>241</v>
      </c>
      <c r="B28" t="s">
        <v>71</v>
      </c>
      <c r="C28">
        <f>SUMIF(Table1[Customer ID],'Customer Receivables'!B28,Table1[Agreed Amount])</f>
        <v>27800</v>
      </c>
      <c r="D28">
        <f>SUMIF('Opening Receivables'!C:C,'Customer Receivables'!B28,'Opening Receivables'!D:D)</f>
        <v>0</v>
      </c>
      <c r="E28">
        <f>SUMIF(Table3[Customer ID],'Customer Receivables'!B28,Table3[Collected Amount])</f>
        <v>27800</v>
      </c>
      <c r="F28">
        <f t="shared" si="0"/>
        <v>0</v>
      </c>
    </row>
    <row r="29" spans="1:6" hidden="1" x14ac:dyDescent="0.3">
      <c r="A29" s="2" t="s">
        <v>273</v>
      </c>
      <c r="B29" t="s">
        <v>72</v>
      </c>
      <c r="C29">
        <f>SUMIF(Table1[Customer ID],'Customer Receivables'!B29,Table1[Agreed Amount])</f>
        <v>0</v>
      </c>
      <c r="D29">
        <f>SUMIF('Opening Receivables'!C:C,'Customer Receivables'!B29,'Opening Receivables'!D:D)</f>
        <v>10000</v>
      </c>
      <c r="E29">
        <f>SUMIF(Table3[Customer ID],'Customer Receivables'!B29,Table3[Collected Amount])</f>
        <v>10000</v>
      </c>
      <c r="F29">
        <f t="shared" si="0"/>
        <v>0</v>
      </c>
    </row>
    <row r="30" spans="1:6" hidden="1" x14ac:dyDescent="0.3">
      <c r="A30" s="2" t="s">
        <v>274</v>
      </c>
      <c r="B30" t="s">
        <v>73</v>
      </c>
      <c r="C30">
        <f>SUMIF(Table1[Customer ID],'Customer Receivables'!B30,Table1[Agreed Amount])</f>
        <v>0</v>
      </c>
      <c r="D30">
        <f>SUMIF('Opening Receivables'!C:C,'Customer Receivables'!B30,'Opening Receivables'!D:D)</f>
        <v>35500</v>
      </c>
      <c r="E30">
        <f>SUMIF(Table3[Customer ID],'Customer Receivables'!B30,Table3[Collected Amount])</f>
        <v>35500</v>
      </c>
      <c r="F30">
        <f t="shared" si="0"/>
        <v>0</v>
      </c>
    </row>
    <row r="31" spans="1:6" hidden="1" x14ac:dyDescent="0.3">
      <c r="A31" s="2" t="s">
        <v>242</v>
      </c>
      <c r="B31" t="s">
        <v>74</v>
      </c>
      <c r="C31">
        <f>SUMIF(Table1[Customer ID],'Customer Receivables'!B31,Table1[Agreed Amount])</f>
        <v>0</v>
      </c>
      <c r="D31">
        <f>SUMIF('Opening Receivables'!C:C,'Customer Receivables'!B31,'Opening Receivables'!D:D)</f>
        <v>9000</v>
      </c>
      <c r="E31">
        <f>SUMIF(Table3[Customer ID],'Customer Receivables'!B31,Table3[Collected Amount])</f>
        <v>9000</v>
      </c>
      <c r="F31">
        <f t="shared" si="0"/>
        <v>0</v>
      </c>
    </row>
    <row r="32" spans="1:6" hidden="1" x14ac:dyDescent="0.3">
      <c r="A32" s="2" t="s">
        <v>243</v>
      </c>
      <c r="B32" t="s">
        <v>75</v>
      </c>
      <c r="C32">
        <f>SUMIF(Table1[Customer ID],'Customer Receivables'!B32,Table1[Agreed Amount])</f>
        <v>0</v>
      </c>
      <c r="D32">
        <f>SUMIF('Opening Receivables'!C:C,'Customer Receivables'!B32,'Opening Receivables'!D:D)</f>
        <v>16000</v>
      </c>
      <c r="E32">
        <f>SUMIF(Table3[Customer ID],'Customer Receivables'!B32,Table3[Collected Amount])</f>
        <v>16000</v>
      </c>
      <c r="F32">
        <f t="shared" si="0"/>
        <v>0</v>
      </c>
    </row>
    <row r="33" spans="1:6" hidden="1" x14ac:dyDescent="0.3">
      <c r="A33" s="2" t="s">
        <v>244</v>
      </c>
      <c r="B33" t="s">
        <v>76</v>
      </c>
      <c r="C33">
        <f>SUMIF(Table1[Customer ID],'Customer Receivables'!B33,Table1[Agreed Amount])</f>
        <v>0</v>
      </c>
      <c r="D33">
        <f>SUMIF('Opening Receivables'!C:C,'Customer Receivables'!B33,'Opening Receivables'!D:D)</f>
        <v>40000</v>
      </c>
      <c r="E33">
        <f>SUMIF(Table3[Customer ID],'Customer Receivables'!B33,Table3[Collected Amount])</f>
        <v>40000</v>
      </c>
      <c r="F33">
        <f t="shared" si="0"/>
        <v>0</v>
      </c>
    </row>
    <row r="34" spans="1:6" x14ac:dyDescent="0.3">
      <c r="A34" t="s">
        <v>245</v>
      </c>
      <c r="B34" t="s">
        <v>77</v>
      </c>
      <c r="C34">
        <f>SUMIF(Table1[Customer ID],'Customer Receivables'!B34,Table1[Agreed Amount])</f>
        <v>0</v>
      </c>
      <c r="D34">
        <f>SUMIF('Opening Receivables'!C:C,'Customer Receivables'!B34,'Opening Receivables'!D:D)</f>
        <v>27800</v>
      </c>
      <c r="E34">
        <f>SUMIF(Table3[Customer ID],'Customer Receivables'!B34,Table3[Collected Amount])</f>
        <v>7000</v>
      </c>
      <c r="F34">
        <f t="shared" si="0"/>
        <v>20800</v>
      </c>
    </row>
    <row r="35" spans="1:6" hidden="1" x14ac:dyDescent="0.3">
      <c r="A35" s="2" t="s">
        <v>232</v>
      </c>
      <c r="B35" t="s">
        <v>87</v>
      </c>
      <c r="C35">
        <f>SUMIF(Table1[Customer ID],'Customer Receivables'!B35,Table1[Agreed Amount])</f>
        <v>50</v>
      </c>
      <c r="D35">
        <f>SUMIF('Opening Receivables'!C:C,'Customer Receivables'!B35,'Opening Receivables'!D:D)</f>
        <v>0</v>
      </c>
      <c r="E35">
        <f>SUMIF(Table3[Customer ID],'Customer Receivables'!B35,Table3[Collected Amount])</f>
        <v>50</v>
      </c>
      <c r="F35">
        <f t="shared" ref="F35:F43" si="1">C35+D35-E35</f>
        <v>0</v>
      </c>
    </row>
    <row r="36" spans="1:6" hidden="1" x14ac:dyDescent="0.3">
      <c r="A36" s="2" t="s">
        <v>246</v>
      </c>
      <c r="B36" t="s">
        <v>88</v>
      </c>
      <c r="C36">
        <f>SUMIF(Table1[Customer ID],'Customer Receivables'!B36,Table1[Agreed Amount])</f>
        <v>3000</v>
      </c>
      <c r="D36">
        <f>SUMIF('Opening Receivables'!C:C,'Customer Receivables'!B36,'Opening Receivables'!D:D)</f>
        <v>0</v>
      </c>
      <c r="E36">
        <f>SUMIF(Table3[Customer ID],'Customer Receivables'!B36,Table3[Collected Amount])</f>
        <v>3000</v>
      </c>
      <c r="F36">
        <f t="shared" si="1"/>
        <v>0</v>
      </c>
    </row>
    <row r="37" spans="1:6" hidden="1" x14ac:dyDescent="0.3">
      <c r="A37" s="2" t="s">
        <v>247</v>
      </c>
      <c r="B37" t="s">
        <v>89</v>
      </c>
      <c r="C37">
        <f>SUMIF(Table1[Customer ID],'Customer Receivables'!B37,Table1[Agreed Amount])</f>
        <v>190</v>
      </c>
      <c r="D37">
        <f>SUMIF('Opening Receivables'!C:C,'Customer Receivables'!B37,'Opening Receivables'!D:D)</f>
        <v>0</v>
      </c>
      <c r="E37">
        <f>SUMIF(Table3[Customer ID],'Customer Receivables'!B37,Table3[Collected Amount])</f>
        <v>190</v>
      </c>
      <c r="F37">
        <f t="shared" si="1"/>
        <v>0</v>
      </c>
    </row>
    <row r="38" spans="1:6" hidden="1" x14ac:dyDescent="0.3">
      <c r="A38" s="2" t="s">
        <v>248</v>
      </c>
      <c r="B38" t="s">
        <v>90</v>
      </c>
      <c r="C38">
        <f>SUMIF(Table1[Customer ID],'Customer Receivables'!B38,Table1[Agreed Amount])</f>
        <v>62100</v>
      </c>
      <c r="D38">
        <f>SUMIF('Opening Receivables'!C:C,'Customer Receivables'!B38,'Opening Receivables'!D:D)</f>
        <v>0</v>
      </c>
      <c r="E38">
        <f>SUMIF(Table3[Customer ID],'Customer Receivables'!B38,Table3[Collected Amount])</f>
        <v>62100</v>
      </c>
      <c r="F38">
        <f>C38+D38-E38</f>
        <v>0</v>
      </c>
    </row>
    <row r="39" spans="1:6" hidden="1" x14ac:dyDescent="0.3">
      <c r="A39" s="2" t="s">
        <v>249</v>
      </c>
      <c r="B39" t="s">
        <v>91</v>
      </c>
      <c r="C39">
        <f>SUMIF(Table1[Customer ID],'Customer Receivables'!B39,Table1[Agreed Amount])</f>
        <v>10500</v>
      </c>
      <c r="D39">
        <f>SUMIF('Opening Receivables'!C:C,'Customer Receivables'!B39,'Opening Receivables'!D:D)</f>
        <v>0</v>
      </c>
      <c r="E39">
        <f>SUMIF(Table3[Customer ID],'Customer Receivables'!B39,Table3[Collected Amount])</f>
        <v>10500</v>
      </c>
      <c r="F39">
        <f t="shared" si="1"/>
        <v>0</v>
      </c>
    </row>
    <row r="40" spans="1:6" hidden="1" x14ac:dyDescent="0.3">
      <c r="A40" s="2" t="s">
        <v>250</v>
      </c>
      <c r="B40" t="s">
        <v>92</v>
      </c>
      <c r="C40">
        <f>SUMIF(Table1[Customer ID],'Customer Receivables'!B40,Table1[Agreed Amount])</f>
        <v>5500</v>
      </c>
      <c r="D40">
        <f>SUMIF('Opening Receivables'!C:C,'Customer Receivables'!B40,'Opening Receivables'!D:D)</f>
        <v>0</v>
      </c>
      <c r="E40">
        <f>SUMIF(Table3[Customer ID],'Customer Receivables'!B40,Table3[Collected Amount])</f>
        <v>5500</v>
      </c>
      <c r="F40">
        <f t="shared" si="1"/>
        <v>0</v>
      </c>
    </row>
    <row r="41" spans="1:6" hidden="1" x14ac:dyDescent="0.3">
      <c r="A41" s="2" t="s">
        <v>251</v>
      </c>
      <c r="B41" t="s">
        <v>93</v>
      </c>
      <c r="C41">
        <f>SUMIF(Table1[Customer ID],'Customer Receivables'!B41,Table1[Agreed Amount])</f>
        <v>1140</v>
      </c>
      <c r="D41">
        <f>SUMIF('Opening Receivables'!C:C,'Customer Receivables'!B41,'Opening Receivables'!D:D)</f>
        <v>0</v>
      </c>
      <c r="E41">
        <f>SUMIF(Table3[Customer ID],'Customer Receivables'!B41,Table3[Collected Amount])</f>
        <v>1140</v>
      </c>
      <c r="F41">
        <f t="shared" si="1"/>
        <v>0</v>
      </c>
    </row>
    <row r="42" spans="1:6" hidden="1" x14ac:dyDescent="0.3">
      <c r="A42" s="2" t="s">
        <v>252</v>
      </c>
      <c r="B42" t="s">
        <v>94</v>
      </c>
      <c r="C42">
        <f>SUMIF(Table1[Customer ID],'Customer Receivables'!B42,Table1[Agreed Amount])</f>
        <v>745</v>
      </c>
      <c r="D42">
        <f>SUMIF('Opening Receivables'!C:C,'Customer Receivables'!B42,'Opening Receivables'!D:D)</f>
        <v>0</v>
      </c>
      <c r="E42">
        <f>SUMIF(Table3[Customer ID],'Customer Receivables'!B42,Table3[Collected Amount])</f>
        <v>745</v>
      </c>
      <c r="F42">
        <f t="shared" si="1"/>
        <v>0</v>
      </c>
    </row>
    <row r="43" spans="1:6" hidden="1" x14ac:dyDescent="0.3">
      <c r="A43" s="2" t="s">
        <v>253</v>
      </c>
      <c r="B43" t="s">
        <v>110</v>
      </c>
      <c r="C43">
        <f>SUMIF(Table1[Customer ID],'Customer Receivables'!B43,Table1[Agreed Amount])</f>
        <v>1200</v>
      </c>
      <c r="D43">
        <f>SUMIF('Opening Receivables'!C:C,'Customer Receivables'!B43,'Opening Receivables'!D:D)</f>
        <v>0</v>
      </c>
      <c r="E43">
        <f>SUMIF(Table3[Customer ID],'Customer Receivables'!B43,Table3[Collected Amount])</f>
        <v>1200</v>
      </c>
      <c r="F43">
        <f t="shared" si="1"/>
        <v>0</v>
      </c>
    </row>
    <row r="44" spans="1:6" hidden="1" x14ac:dyDescent="0.3">
      <c r="A44" t="s">
        <v>254</v>
      </c>
      <c r="B44" t="s">
        <v>112</v>
      </c>
      <c r="C44">
        <f>SUMIF(Table1[Customer ID],'Customer Receivables'!B44,Table1[Agreed Amount])</f>
        <v>29650</v>
      </c>
      <c r="D44">
        <f>SUMIF('Opening Receivables'!C:C,'Customer Receivables'!B44,'Opening Receivables'!D:D)</f>
        <v>0</v>
      </c>
      <c r="E44">
        <f>SUMIF(Table3[Customer ID],'Customer Receivables'!B44,Table3[Collected Amount])</f>
        <v>29650</v>
      </c>
      <c r="F44">
        <f>C44+D44-E44</f>
        <v>0</v>
      </c>
    </row>
    <row r="45" spans="1:6" hidden="1" x14ac:dyDescent="0.3">
      <c r="A45" s="2" t="s">
        <v>255</v>
      </c>
      <c r="B45" t="s">
        <v>144</v>
      </c>
      <c r="C45">
        <f>SUMIF(Table1[Customer ID],'Customer Receivables'!B45,Table1[Agreed Amount])</f>
        <v>20700</v>
      </c>
      <c r="D45">
        <f>SUMIF('Opening Receivables'!C:C,'Customer Receivables'!B45,'Opening Receivables'!D:D)</f>
        <v>0</v>
      </c>
      <c r="E45">
        <f>SUMIF(Table3[Customer ID],'Customer Receivables'!B45,Table3[Collected Amount])</f>
        <v>20700</v>
      </c>
      <c r="F45">
        <f t="shared" ref="F45:F50" si="2">C45+D45-E45</f>
        <v>0</v>
      </c>
    </row>
    <row r="46" spans="1:6" hidden="1" x14ac:dyDescent="0.3">
      <c r="A46" s="2" t="s">
        <v>256</v>
      </c>
      <c r="B46" t="s">
        <v>145</v>
      </c>
      <c r="C46">
        <f>SUMIF(Table1[Customer ID],'Customer Receivables'!B46,Table1[Agreed Amount])</f>
        <v>42040</v>
      </c>
      <c r="D46">
        <f>SUMIF('Opening Receivables'!C:C,'Customer Receivables'!B46,'Opening Receivables'!D:D)</f>
        <v>0</v>
      </c>
      <c r="E46">
        <f>SUMIF(Table3[Customer ID],'Customer Receivables'!B46,Table3[Collected Amount])</f>
        <v>42040</v>
      </c>
      <c r="F46">
        <f t="shared" si="2"/>
        <v>0</v>
      </c>
    </row>
    <row r="47" spans="1:6" hidden="1" x14ac:dyDescent="0.3">
      <c r="A47" s="2" t="s">
        <v>257</v>
      </c>
      <c r="B47" t="s">
        <v>146</v>
      </c>
      <c r="C47">
        <f>SUMIF(Table1[Customer ID],'Customer Receivables'!B47,Table1[Agreed Amount])</f>
        <v>20800</v>
      </c>
      <c r="D47">
        <f>SUMIF('Opening Receivables'!C:C,'Customer Receivables'!B47,'Opening Receivables'!D:D)</f>
        <v>0</v>
      </c>
      <c r="E47">
        <f>SUMIF(Table3[Customer ID],'Customer Receivables'!B47,Table3[Collected Amount])</f>
        <v>20800</v>
      </c>
      <c r="F47">
        <f t="shared" si="2"/>
        <v>0</v>
      </c>
    </row>
    <row r="48" spans="1:6" hidden="1" x14ac:dyDescent="0.3">
      <c r="A48" s="2" t="s">
        <v>258</v>
      </c>
      <c r="B48" t="s">
        <v>147</v>
      </c>
      <c r="C48">
        <f>SUMIF(Table1[Customer ID],'Customer Receivables'!B48,Table1[Agreed Amount])</f>
        <v>11640</v>
      </c>
      <c r="D48">
        <f>SUMIF('Opening Receivables'!C:C,'Customer Receivables'!B48,'Opening Receivables'!D:D)</f>
        <v>0</v>
      </c>
      <c r="E48">
        <f>SUMIF(Table3[Customer ID],'Customer Receivables'!B48,Table3[Collected Amount])</f>
        <v>11640</v>
      </c>
      <c r="F48">
        <f t="shared" si="2"/>
        <v>0</v>
      </c>
    </row>
    <row r="49" spans="1:6" hidden="1" x14ac:dyDescent="0.3">
      <c r="A49" s="2" t="s">
        <v>259</v>
      </c>
      <c r="B49" t="s">
        <v>152</v>
      </c>
      <c r="C49">
        <f>SUMIF(Table1[Customer ID],'Customer Receivables'!B49,Table1[Agreed Amount])</f>
        <v>230</v>
      </c>
      <c r="D49">
        <f>SUMIF('Opening Receivables'!C:C,'Customer Receivables'!B49,'Opening Receivables'!D:D)</f>
        <v>0</v>
      </c>
      <c r="E49">
        <f>SUMIF(Table3[Customer ID],'Customer Receivables'!B49,Table3[Collected Amount])</f>
        <v>230</v>
      </c>
      <c r="F49">
        <f t="shared" si="2"/>
        <v>0</v>
      </c>
    </row>
    <row r="50" spans="1:6" hidden="1" x14ac:dyDescent="0.3">
      <c r="A50" s="2" t="s">
        <v>260</v>
      </c>
      <c r="B50" t="s">
        <v>153</v>
      </c>
      <c r="C50">
        <f>SUMIF(Table1[Customer ID],'Customer Receivables'!B50,Table1[Agreed Amount])</f>
        <v>80</v>
      </c>
      <c r="D50">
        <f>SUMIF('Opening Receivables'!C:C,'Customer Receivables'!B50,'Opening Receivables'!D:D)</f>
        <v>0</v>
      </c>
      <c r="E50">
        <f>SUMIF(Table3[Customer ID],'Customer Receivables'!B50,Table3[Collected Amount])</f>
        <v>80</v>
      </c>
      <c r="F50">
        <f t="shared" si="2"/>
        <v>0</v>
      </c>
    </row>
    <row r="51" spans="1:6" hidden="1" x14ac:dyDescent="0.3">
      <c r="A51" s="2" t="s">
        <v>261</v>
      </c>
      <c r="B51" t="s">
        <v>154</v>
      </c>
      <c r="C51">
        <f>SUMIF(Table1[Customer ID],'Customer Receivables'!B51,Table1[Agreed Amount])</f>
        <v>0</v>
      </c>
      <c r="D51">
        <f>SUMIF('Opening Receivables'!C:C,'Customer Receivables'!B51,'Opening Receivables'!D:D)</f>
        <v>0</v>
      </c>
      <c r="E51">
        <f>SUMIF(Table3[Customer ID],'Customer Receivables'!B51,Table3[Collected Amount])</f>
        <v>0</v>
      </c>
      <c r="F51">
        <f t="shared" ref="F51:F55" si="3">C51+D51-E51</f>
        <v>0</v>
      </c>
    </row>
    <row r="52" spans="1:6" hidden="1" x14ac:dyDescent="0.3">
      <c r="A52" s="2" t="s">
        <v>262</v>
      </c>
      <c r="B52" t="s">
        <v>155</v>
      </c>
      <c r="C52">
        <f>SUMIF(Table1[Customer ID],'Customer Receivables'!B52,Table1[Agreed Amount])</f>
        <v>0</v>
      </c>
      <c r="D52">
        <f>SUMIF('Opening Receivables'!C:C,'Customer Receivables'!B52,'Opening Receivables'!D:D)</f>
        <v>0</v>
      </c>
      <c r="E52">
        <f>SUMIF(Table3[Customer ID],'Customer Receivables'!B52,Table3[Collected Amount])</f>
        <v>0</v>
      </c>
      <c r="F52">
        <f t="shared" si="3"/>
        <v>0</v>
      </c>
    </row>
    <row r="53" spans="1:6" hidden="1" x14ac:dyDescent="0.3">
      <c r="A53" s="2" t="s">
        <v>263</v>
      </c>
      <c r="B53" t="s">
        <v>156</v>
      </c>
      <c r="C53">
        <f>SUMIF(Table1[Customer ID],'Customer Receivables'!B53,Table1[Agreed Amount])</f>
        <v>0</v>
      </c>
      <c r="D53">
        <f>SUMIF('Opening Receivables'!C:C,'Customer Receivables'!B53,'Opening Receivables'!D:D)</f>
        <v>0</v>
      </c>
      <c r="E53">
        <f>SUMIF(Table3[Customer ID],'Customer Receivables'!B53,Table3[Collected Amount])</f>
        <v>0</v>
      </c>
      <c r="F53">
        <f t="shared" si="3"/>
        <v>0</v>
      </c>
    </row>
    <row r="54" spans="1:6" hidden="1" x14ac:dyDescent="0.3">
      <c r="A54" s="2" t="s">
        <v>264</v>
      </c>
      <c r="B54" t="s">
        <v>163</v>
      </c>
      <c r="C54">
        <f>SUMIF(Table1[Customer ID],'Customer Receivables'!B54,Table1[Agreed Amount])</f>
        <v>10000</v>
      </c>
      <c r="D54">
        <f>SUMIF('Opening Receivables'!C:C,'Customer Receivables'!B54,'Opening Receivables'!D:D)</f>
        <v>0</v>
      </c>
      <c r="E54">
        <f>SUMIF(Table3[Customer ID],'Customer Receivables'!B54,Table3[Collected Amount])</f>
        <v>10000</v>
      </c>
      <c r="F54">
        <f t="shared" si="3"/>
        <v>0</v>
      </c>
    </row>
    <row r="55" spans="1:6" hidden="1" x14ac:dyDescent="0.3">
      <c r="A55" s="2" t="s">
        <v>275</v>
      </c>
      <c r="B55" t="s">
        <v>164</v>
      </c>
      <c r="C55">
        <f>SUMIF(Table1[Customer ID],'Customer Receivables'!B55,Table1[Agreed Amount])</f>
        <v>1150</v>
      </c>
      <c r="D55">
        <f>SUMIF('Opening Receivables'!C:C,'Customer Receivables'!B55,'Opening Receivables'!D:D)</f>
        <v>0</v>
      </c>
      <c r="E55">
        <f>SUMIF(Table3[Customer ID],'Customer Receivables'!B55,Table3[Collected Amount])</f>
        <v>1150</v>
      </c>
      <c r="F55">
        <f t="shared" si="3"/>
        <v>0</v>
      </c>
    </row>
    <row r="56" spans="1:6" hidden="1" x14ac:dyDescent="0.3">
      <c r="A56" s="2" t="s">
        <v>276</v>
      </c>
      <c r="B56" t="s">
        <v>169</v>
      </c>
      <c r="C56">
        <f>SUMIF(Table1[Customer ID],'Customer Receivables'!B56,Table1[Agreed Amount])</f>
        <v>64900</v>
      </c>
      <c r="D56">
        <f>SUMIF('Opening Receivables'!C:C,'Customer Receivables'!B56,'Opening Receivables'!D:D)</f>
        <v>0</v>
      </c>
      <c r="E56">
        <f>SUMIF(Table3[Customer ID],'Customer Receivables'!B56,Table3[Collected Amount])</f>
        <v>64900</v>
      </c>
      <c r="F56">
        <f t="shared" ref="F56:F62" si="4">C56+D56-E56</f>
        <v>0</v>
      </c>
    </row>
    <row r="57" spans="1:6" hidden="1" x14ac:dyDescent="0.3">
      <c r="A57" s="2" t="s">
        <v>277</v>
      </c>
      <c r="B57" t="s">
        <v>172</v>
      </c>
      <c r="C57">
        <f>SUMIF(Table1[Customer ID],'Customer Receivables'!B57,Table1[Agreed Amount])</f>
        <v>31400</v>
      </c>
      <c r="D57">
        <f>SUMIF('Opening Receivables'!C:C,'Customer Receivables'!B57,'Opening Receivables'!D:D)</f>
        <v>0</v>
      </c>
      <c r="E57">
        <f>SUMIF(Table3[Customer ID],'Customer Receivables'!B57,Table3[Collected Amount])</f>
        <v>31400</v>
      </c>
      <c r="F57">
        <f t="shared" si="4"/>
        <v>0</v>
      </c>
    </row>
    <row r="58" spans="1:6" hidden="1" x14ac:dyDescent="0.3">
      <c r="A58" s="2"/>
      <c r="C58">
        <f>SUMIF(Table1[Customer ID],'Customer Receivables'!B58,Table1[Agreed Amount])</f>
        <v>0</v>
      </c>
      <c r="D58">
        <f>SUMIF('Opening Receivables'!C:C,'Customer Receivables'!B58,'Opening Receivables'!D:D)</f>
        <v>0</v>
      </c>
      <c r="E58">
        <f>SUMIF(Table3[Customer ID],'Customer Receivables'!B58,Table3[Collected Amount])</f>
        <v>0</v>
      </c>
      <c r="F58">
        <f t="shared" si="4"/>
        <v>0</v>
      </c>
    </row>
    <row r="59" spans="1:6" hidden="1" x14ac:dyDescent="0.3">
      <c r="A59" s="2"/>
      <c r="C59">
        <f>SUMIF(Table1[Customer ID],'Customer Receivables'!B59,Table1[Agreed Amount])</f>
        <v>0</v>
      </c>
      <c r="D59">
        <f>SUMIF('Opening Receivables'!C:C,'Customer Receivables'!B59,'Opening Receivables'!D:D)</f>
        <v>0</v>
      </c>
      <c r="E59">
        <f>SUMIF(Table3[Customer ID],'Customer Receivables'!B59,Table3[Collected Amount])</f>
        <v>0</v>
      </c>
      <c r="F59">
        <f t="shared" si="4"/>
        <v>0</v>
      </c>
    </row>
    <row r="60" spans="1:6" hidden="1" x14ac:dyDescent="0.3">
      <c r="A60" s="2"/>
      <c r="C60">
        <f>SUMIF(Table1[Customer ID],'Customer Receivables'!B60,Table1[Agreed Amount])</f>
        <v>0</v>
      </c>
      <c r="D60">
        <f>SUMIF('Opening Receivables'!C:C,'Customer Receivables'!B60,'Opening Receivables'!D:D)</f>
        <v>0</v>
      </c>
      <c r="E60">
        <f>SUMIF(Table3[Customer ID],'Customer Receivables'!B60,Table3[Collected Amount])</f>
        <v>0</v>
      </c>
      <c r="F60">
        <f t="shared" si="4"/>
        <v>0</v>
      </c>
    </row>
    <row r="61" spans="1:6" hidden="1" x14ac:dyDescent="0.3">
      <c r="A61" s="2"/>
      <c r="C61">
        <f>SUMIF(Table1[Customer ID],'Customer Receivables'!B61,Table1[Agreed Amount])</f>
        <v>0</v>
      </c>
      <c r="D61">
        <f>SUMIF('Opening Receivables'!C:C,'Customer Receivables'!B61,'Opening Receivables'!D:D)</f>
        <v>0</v>
      </c>
      <c r="E61">
        <f>SUMIF(Table3[Customer ID],'Customer Receivables'!B61,Table3[Collected Amount])</f>
        <v>0</v>
      </c>
      <c r="F61">
        <f t="shared" si="4"/>
        <v>0</v>
      </c>
    </row>
    <row r="62" spans="1:6" hidden="1" x14ac:dyDescent="0.3">
      <c r="A62" s="2"/>
      <c r="C62">
        <f>SUMIF(Table1[Customer ID],'Customer Receivables'!B62,Table1[Agreed Amount])</f>
        <v>0</v>
      </c>
      <c r="D62">
        <f>SUMIF('Opening Receivables'!C:C,'Customer Receivables'!B62,'Opening Receivables'!D:D)</f>
        <v>0</v>
      </c>
      <c r="E62">
        <f>SUMIF(Table3[Customer ID],'Customer Receivables'!B62,Table3[Collected Amount])</f>
        <v>0</v>
      </c>
      <c r="F62">
        <f t="shared" si="4"/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9102-1BA4-4680-8E7E-91D63B7140B9}">
  <dimension ref="A1:I20"/>
  <sheetViews>
    <sheetView workbookViewId="0">
      <selection activeCell="H9" sqref="H9"/>
    </sheetView>
  </sheetViews>
  <sheetFormatPr defaultRowHeight="14.4" x14ac:dyDescent="0.3"/>
  <cols>
    <col min="1" max="1" width="13.6640625" bestFit="1" customWidth="1"/>
    <col min="2" max="2" width="9.33203125" bestFit="1" customWidth="1"/>
    <col min="3" max="3" width="12.21875" bestFit="1" customWidth="1"/>
    <col min="4" max="4" width="14.44140625" bestFit="1" customWidth="1"/>
    <col min="5" max="5" width="12.5546875" style="12" bestFit="1" customWidth="1"/>
    <col min="6" max="6" width="15.88671875" style="11" bestFit="1" customWidth="1"/>
    <col min="7" max="7" width="13" bestFit="1" customWidth="1"/>
    <col min="8" max="8" width="16.21875" bestFit="1" customWidth="1"/>
    <col min="9" max="9" width="10.33203125" style="12" bestFit="1" customWidth="1"/>
  </cols>
  <sheetData>
    <row r="1" spans="1:9" x14ac:dyDescent="0.3">
      <c r="A1" t="s">
        <v>211</v>
      </c>
      <c r="B1" t="s">
        <v>176</v>
      </c>
      <c r="C1" t="s">
        <v>179</v>
      </c>
      <c r="D1" t="s">
        <v>191</v>
      </c>
      <c r="E1" s="12" t="s">
        <v>181</v>
      </c>
      <c r="F1" s="11" t="s">
        <v>182</v>
      </c>
      <c r="G1" s="10" t="s">
        <v>183</v>
      </c>
      <c r="H1" t="s">
        <v>212</v>
      </c>
      <c r="I1" s="12" t="s">
        <v>184</v>
      </c>
    </row>
    <row r="2" spans="1:9" x14ac:dyDescent="0.3">
      <c r="A2">
        <v>1001</v>
      </c>
      <c r="B2" s="1">
        <v>46202</v>
      </c>
      <c r="C2" t="s">
        <v>278</v>
      </c>
      <c r="D2" t="s">
        <v>282</v>
      </c>
      <c r="E2" s="12">
        <v>10</v>
      </c>
      <c r="F2" s="11">
        <v>2.5</v>
      </c>
      <c r="G2">
        <v>480</v>
      </c>
      <c r="H2" t="s">
        <v>292</v>
      </c>
      <c r="I2" s="12">
        <v>40</v>
      </c>
    </row>
    <row r="3" spans="1:9" x14ac:dyDescent="0.3">
      <c r="A3">
        <v>1001</v>
      </c>
      <c r="B3" s="1">
        <v>46202</v>
      </c>
      <c r="C3" t="s">
        <v>278</v>
      </c>
      <c r="D3" t="s">
        <v>282</v>
      </c>
      <c r="E3" s="12">
        <v>10</v>
      </c>
      <c r="F3" s="11">
        <v>2.5</v>
      </c>
      <c r="G3">
        <v>300</v>
      </c>
      <c r="H3" t="s">
        <v>293</v>
      </c>
      <c r="I3" s="12">
        <v>40</v>
      </c>
    </row>
    <row r="4" spans="1:9" x14ac:dyDescent="0.3">
      <c r="A4">
        <v>1001</v>
      </c>
      <c r="B4" s="1">
        <v>46202</v>
      </c>
      <c r="C4" t="s">
        <v>278</v>
      </c>
      <c r="D4" t="s">
        <v>283</v>
      </c>
      <c r="E4" s="12">
        <v>10</v>
      </c>
      <c r="F4" s="11">
        <v>2.5</v>
      </c>
      <c r="G4">
        <v>180</v>
      </c>
      <c r="H4" t="s">
        <v>293</v>
      </c>
      <c r="I4" s="12">
        <v>40</v>
      </c>
    </row>
    <row r="5" spans="1:9" x14ac:dyDescent="0.3">
      <c r="A5">
        <v>1002</v>
      </c>
      <c r="B5" s="1">
        <v>46209</v>
      </c>
      <c r="C5" t="s">
        <v>278</v>
      </c>
      <c r="D5" t="s">
        <v>282</v>
      </c>
      <c r="E5" s="11">
        <v>12.5</v>
      </c>
      <c r="F5" s="11">
        <v>2.5</v>
      </c>
      <c r="G5">
        <v>510</v>
      </c>
      <c r="H5" t="s">
        <v>292</v>
      </c>
      <c r="I5" s="12">
        <v>71</v>
      </c>
    </row>
    <row r="6" spans="1:9" x14ac:dyDescent="0.3">
      <c r="A6">
        <v>1002</v>
      </c>
      <c r="B6" s="1">
        <v>46209</v>
      </c>
      <c r="C6" t="s">
        <v>278</v>
      </c>
      <c r="D6" t="s">
        <v>282</v>
      </c>
      <c r="E6" s="11">
        <v>12.5</v>
      </c>
      <c r="F6" s="11">
        <v>2.5</v>
      </c>
      <c r="G6">
        <v>240</v>
      </c>
      <c r="H6" t="s">
        <v>293</v>
      </c>
      <c r="I6" s="12">
        <v>71</v>
      </c>
    </row>
    <row r="7" spans="1:9" x14ac:dyDescent="0.3">
      <c r="A7">
        <v>1002</v>
      </c>
      <c r="B7" s="1">
        <v>46209</v>
      </c>
      <c r="C7" t="s">
        <v>278</v>
      </c>
      <c r="D7" t="s">
        <v>282</v>
      </c>
      <c r="E7" s="11">
        <v>12.5</v>
      </c>
      <c r="F7" s="11">
        <v>2.5</v>
      </c>
      <c r="G7">
        <v>270</v>
      </c>
      <c r="H7" t="s">
        <v>293</v>
      </c>
      <c r="I7" s="12">
        <v>72</v>
      </c>
    </row>
    <row r="8" spans="1:9" x14ac:dyDescent="0.3">
      <c r="A8">
        <v>1003</v>
      </c>
      <c r="B8" s="1">
        <v>46209</v>
      </c>
      <c r="C8" t="s">
        <v>278</v>
      </c>
      <c r="D8" t="s">
        <v>282</v>
      </c>
      <c r="E8" s="11">
        <v>12.5</v>
      </c>
      <c r="F8" s="11">
        <v>2.5</v>
      </c>
      <c r="G8">
        <v>480</v>
      </c>
      <c r="H8" t="s">
        <v>292</v>
      </c>
      <c r="I8" s="12">
        <v>1</v>
      </c>
    </row>
    <row r="9" spans="1:9" x14ac:dyDescent="0.3">
      <c r="A9">
        <v>1003</v>
      </c>
      <c r="B9" s="1">
        <v>46209</v>
      </c>
      <c r="C9" t="s">
        <v>278</v>
      </c>
      <c r="D9" t="s">
        <v>282</v>
      </c>
      <c r="E9" s="11">
        <v>12.5</v>
      </c>
      <c r="F9" s="11">
        <v>2.5</v>
      </c>
      <c r="G9">
        <v>270</v>
      </c>
      <c r="H9" t="s">
        <v>293</v>
      </c>
      <c r="I9" s="12">
        <v>1</v>
      </c>
    </row>
    <row r="10" spans="1:9" x14ac:dyDescent="0.3">
      <c r="A10">
        <v>1003</v>
      </c>
      <c r="B10" s="1">
        <v>46209</v>
      </c>
      <c r="C10" t="s">
        <v>278</v>
      </c>
      <c r="D10" t="s">
        <v>282</v>
      </c>
      <c r="E10" s="11">
        <v>12.5</v>
      </c>
      <c r="F10" s="11">
        <v>2.5</v>
      </c>
      <c r="G10">
        <v>210</v>
      </c>
      <c r="H10" t="s">
        <v>293</v>
      </c>
      <c r="I10" s="12">
        <v>1</v>
      </c>
    </row>
    <row r="11" spans="1:9" x14ac:dyDescent="0.3">
      <c r="A11">
        <v>1004</v>
      </c>
      <c r="B11" s="1">
        <v>46211</v>
      </c>
      <c r="C11" t="s">
        <v>278</v>
      </c>
      <c r="D11" t="s">
        <v>282</v>
      </c>
      <c r="E11" s="11">
        <v>10</v>
      </c>
      <c r="F11" s="11">
        <v>2.5</v>
      </c>
      <c r="G11">
        <v>480</v>
      </c>
      <c r="H11" t="s">
        <v>292</v>
      </c>
      <c r="I11" s="12">
        <v>6</v>
      </c>
    </row>
    <row r="12" spans="1:9" x14ac:dyDescent="0.3">
      <c r="A12">
        <v>1004</v>
      </c>
      <c r="B12" s="1">
        <v>46211</v>
      </c>
      <c r="C12" t="s">
        <v>278</v>
      </c>
      <c r="D12" t="s">
        <v>282</v>
      </c>
      <c r="E12" s="11">
        <v>10</v>
      </c>
      <c r="F12" s="11">
        <v>2.5</v>
      </c>
      <c r="G12">
        <v>240</v>
      </c>
      <c r="H12" t="s">
        <v>293</v>
      </c>
      <c r="I12" s="12">
        <v>12</v>
      </c>
    </row>
    <row r="13" spans="1:9" x14ac:dyDescent="0.3">
      <c r="A13">
        <v>1005</v>
      </c>
      <c r="B13" s="1">
        <v>46211</v>
      </c>
      <c r="C13" t="s">
        <v>278</v>
      </c>
      <c r="D13" t="s">
        <v>282</v>
      </c>
      <c r="E13" s="11">
        <v>10</v>
      </c>
      <c r="F13" s="11">
        <v>2.5</v>
      </c>
      <c r="G13">
        <v>420</v>
      </c>
      <c r="H13" t="s">
        <v>292</v>
      </c>
      <c r="I13" s="12">
        <v>5</v>
      </c>
    </row>
    <row r="14" spans="1:9" x14ac:dyDescent="0.3">
      <c r="A14">
        <v>1005</v>
      </c>
      <c r="B14" s="1">
        <v>46211</v>
      </c>
      <c r="C14" t="s">
        <v>278</v>
      </c>
      <c r="D14" t="s">
        <v>282</v>
      </c>
      <c r="E14" s="11">
        <v>10</v>
      </c>
      <c r="F14" s="11">
        <v>2.5</v>
      </c>
      <c r="G14">
        <v>210</v>
      </c>
      <c r="H14" t="s">
        <v>293</v>
      </c>
      <c r="I14" s="12">
        <v>10</v>
      </c>
    </row>
    <row r="15" spans="1:9" x14ac:dyDescent="0.3">
      <c r="A15">
        <v>1006</v>
      </c>
      <c r="B15" s="1">
        <v>46232</v>
      </c>
      <c r="C15" t="s">
        <v>278</v>
      </c>
      <c r="D15" t="s">
        <v>282</v>
      </c>
      <c r="E15" s="11">
        <v>10</v>
      </c>
      <c r="F15" s="11">
        <v>2.5</v>
      </c>
      <c r="G15">
        <v>540</v>
      </c>
      <c r="H15" t="s">
        <v>292</v>
      </c>
      <c r="I15" s="12">
        <v>46</v>
      </c>
    </row>
    <row r="16" spans="1:9" x14ac:dyDescent="0.3">
      <c r="A16">
        <v>1006</v>
      </c>
      <c r="B16" s="1">
        <v>46232</v>
      </c>
      <c r="C16" t="s">
        <v>278</v>
      </c>
      <c r="D16" t="s">
        <v>282</v>
      </c>
      <c r="E16" s="11">
        <v>10</v>
      </c>
      <c r="F16" s="11">
        <v>2.5</v>
      </c>
      <c r="G16">
        <v>270</v>
      </c>
      <c r="H16" t="s">
        <v>293</v>
      </c>
      <c r="I16" s="12">
        <v>92</v>
      </c>
    </row>
    <row r="17" spans="1:9" x14ac:dyDescent="0.3">
      <c r="A17">
        <v>1007</v>
      </c>
      <c r="B17" s="1">
        <v>46233</v>
      </c>
      <c r="C17" t="s">
        <v>278</v>
      </c>
      <c r="D17" t="s">
        <v>282</v>
      </c>
      <c r="E17" s="11">
        <v>10</v>
      </c>
      <c r="F17" s="11">
        <v>2.5</v>
      </c>
      <c r="G17">
        <v>240</v>
      </c>
      <c r="H17" t="s">
        <v>292</v>
      </c>
      <c r="I17" s="12">
        <v>15</v>
      </c>
    </row>
    <row r="18" spans="1:9" x14ac:dyDescent="0.3">
      <c r="A18">
        <v>1007</v>
      </c>
      <c r="B18" s="1">
        <v>46233</v>
      </c>
      <c r="C18" t="s">
        <v>278</v>
      </c>
      <c r="D18" t="s">
        <v>283</v>
      </c>
      <c r="E18" s="11">
        <v>10</v>
      </c>
      <c r="F18" s="11">
        <v>2.5</v>
      </c>
      <c r="G18">
        <v>120</v>
      </c>
      <c r="H18" t="s">
        <v>293</v>
      </c>
      <c r="I18" s="12">
        <v>30</v>
      </c>
    </row>
    <row r="19" spans="1:9" x14ac:dyDescent="0.3">
      <c r="A19">
        <v>1008</v>
      </c>
      <c r="B19" s="1">
        <v>46234</v>
      </c>
      <c r="C19" t="s">
        <v>278</v>
      </c>
      <c r="D19" t="s">
        <v>282</v>
      </c>
      <c r="E19" s="11">
        <v>10</v>
      </c>
      <c r="F19" s="11">
        <v>2.5</v>
      </c>
      <c r="G19">
        <v>540</v>
      </c>
      <c r="H19" t="s">
        <v>292</v>
      </c>
      <c r="I19" s="12">
        <v>43</v>
      </c>
    </row>
    <row r="20" spans="1:9" x14ac:dyDescent="0.3">
      <c r="A20">
        <v>1008</v>
      </c>
      <c r="B20" s="1">
        <v>46234</v>
      </c>
      <c r="C20" t="s">
        <v>278</v>
      </c>
      <c r="D20" t="s">
        <v>282</v>
      </c>
      <c r="E20" s="11">
        <v>10</v>
      </c>
      <c r="F20" s="11">
        <v>2.5</v>
      </c>
      <c r="G20">
        <v>270</v>
      </c>
      <c r="H20" t="s">
        <v>293</v>
      </c>
      <c r="I20" s="12">
        <v>86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CE98-403A-4419-8386-024BDA509441}">
  <dimension ref="A1:E13"/>
  <sheetViews>
    <sheetView workbookViewId="0">
      <selection activeCell="G7" sqref="G7"/>
    </sheetView>
  </sheetViews>
  <sheetFormatPr defaultRowHeight="14.4" x14ac:dyDescent="0.3"/>
  <cols>
    <col min="1" max="1" width="9.33203125" bestFit="1" customWidth="1"/>
    <col min="2" max="2" width="9.77734375" customWidth="1"/>
    <col min="3" max="3" width="9.109375" customWidth="1"/>
    <col min="4" max="4" width="10.33203125" customWidth="1"/>
    <col min="5" max="5" width="8.5546875" customWidth="1"/>
    <col min="6" max="6" width="7.109375" bestFit="1" customWidth="1"/>
    <col min="7" max="7" width="12.77734375" bestFit="1" customWidth="1"/>
    <col min="8" max="8" width="7.109375" bestFit="1" customWidth="1"/>
  </cols>
  <sheetData>
    <row r="1" spans="1:5" x14ac:dyDescent="0.3">
      <c r="A1" t="s">
        <v>176</v>
      </c>
      <c r="B1" t="s">
        <v>213</v>
      </c>
      <c r="C1" t="s">
        <v>214</v>
      </c>
      <c r="D1" t="s">
        <v>190</v>
      </c>
      <c r="E1" t="s">
        <v>215</v>
      </c>
    </row>
    <row r="2" spans="1:5" x14ac:dyDescent="0.3">
      <c r="A2" s="1">
        <v>46165</v>
      </c>
      <c r="B2" t="s">
        <v>101</v>
      </c>
      <c r="C2">
        <v>256960</v>
      </c>
      <c r="D2" t="s">
        <v>288</v>
      </c>
    </row>
    <row r="3" spans="1:5" x14ac:dyDescent="0.3">
      <c r="A3" s="1">
        <v>46177</v>
      </c>
      <c r="B3" t="s">
        <v>102</v>
      </c>
      <c r="C3">
        <v>196635.6</v>
      </c>
      <c r="D3" t="s">
        <v>288</v>
      </c>
    </row>
    <row r="4" spans="1:5" x14ac:dyDescent="0.3">
      <c r="A4" s="1">
        <v>46183</v>
      </c>
      <c r="B4" t="s">
        <v>101</v>
      </c>
      <c r="C4">
        <v>105000</v>
      </c>
      <c r="D4" t="s">
        <v>322</v>
      </c>
    </row>
    <row r="5" spans="1:5" x14ac:dyDescent="0.3">
      <c r="A5" s="1">
        <v>46189</v>
      </c>
      <c r="B5" t="s">
        <v>101</v>
      </c>
      <c r="C5">
        <v>120000</v>
      </c>
      <c r="D5" t="s">
        <v>322</v>
      </c>
    </row>
    <row r="6" spans="1:5" x14ac:dyDescent="0.3">
      <c r="A6" s="1">
        <v>46197</v>
      </c>
      <c r="B6" t="s">
        <v>101</v>
      </c>
      <c r="C6">
        <v>105000</v>
      </c>
      <c r="D6" t="s">
        <v>322</v>
      </c>
    </row>
    <row r="7" spans="1:5" x14ac:dyDescent="0.3">
      <c r="A7" s="1">
        <v>46204</v>
      </c>
      <c r="B7" t="s">
        <v>101</v>
      </c>
      <c r="C7">
        <v>125000</v>
      </c>
      <c r="D7" t="s">
        <v>322</v>
      </c>
    </row>
    <row r="8" spans="1:5" x14ac:dyDescent="0.3">
      <c r="A8" s="1">
        <v>46211</v>
      </c>
      <c r="B8" t="s">
        <v>101</v>
      </c>
      <c r="C8">
        <v>200000</v>
      </c>
      <c r="D8" t="s">
        <v>288</v>
      </c>
    </row>
    <row r="9" spans="1:5" x14ac:dyDescent="0.3">
      <c r="A9" s="1">
        <v>46218</v>
      </c>
      <c r="B9" t="s">
        <v>101</v>
      </c>
      <c r="C9">
        <v>120000</v>
      </c>
      <c r="D9" t="s">
        <v>322</v>
      </c>
    </row>
    <row r="10" spans="1:5" x14ac:dyDescent="0.3">
      <c r="A10" s="1">
        <v>46225</v>
      </c>
      <c r="B10" t="s">
        <v>101</v>
      </c>
      <c r="C10">
        <v>75000</v>
      </c>
      <c r="D10" t="s">
        <v>322</v>
      </c>
    </row>
    <row r="11" spans="1:5" x14ac:dyDescent="0.3">
      <c r="A11" s="1">
        <v>46224</v>
      </c>
      <c r="B11" t="s">
        <v>148</v>
      </c>
      <c r="C11">
        <v>1500</v>
      </c>
      <c r="D11" t="s">
        <v>288</v>
      </c>
    </row>
    <row r="12" spans="1:5" x14ac:dyDescent="0.3">
      <c r="A12" s="1">
        <v>46230</v>
      </c>
      <c r="B12" t="s">
        <v>101</v>
      </c>
      <c r="C12">
        <v>65000</v>
      </c>
      <c r="D12" t="s">
        <v>322</v>
      </c>
    </row>
    <row r="13" spans="1:5" x14ac:dyDescent="0.3">
      <c r="A13" s="1">
        <v>46233</v>
      </c>
      <c r="B13" t="s">
        <v>101</v>
      </c>
      <c r="C13">
        <v>100000</v>
      </c>
      <c r="D13" t="s">
        <v>322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484D-A631-4391-827A-FF0D569E0C74}">
  <dimension ref="A1:K17"/>
  <sheetViews>
    <sheetView workbookViewId="0">
      <selection activeCell="L17" sqref="L17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5" bestFit="1" customWidth="1"/>
    <col min="4" max="4" width="14.109375" bestFit="1" customWidth="1"/>
    <col min="5" max="5" width="13.77734375" bestFit="1" customWidth="1"/>
    <col min="6" max="6" width="18.33203125" bestFit="1" customWidth="1"/>
  </cols>
  <sheetData>
    <row r="1" spans="1:6" x14ac:dyDescent="0.3">
      <c r="A1" t="s">
        <v>213</v>
      </c>
      <c r="B1" t="s">
        <v>217</v>
      </c>
      <c r="C1" t="s">
        <v>200</v>
      </c>
      <c r="D1" t="s">
        <v>219</v>
      </c>
      <c r="E1" t="s">
        <v>209</v>
      </c>
      <c r="F1" t="s">
        <v>210</v>
      </c>
    </row>
    <row r="2" spans="1:6" x14ac:dyDescent="0.3">
      <c r="A2" s="1" t="s">
        <v>101</v>
      </c>
      <c r="B2" t="s">
        <v>323</v>
      </c>
      <c r="C2">
        <v>451560</v>
      </c>
      <c r="D2">
        <f>SUMIFS(Table511[Total Amount],Table511[Supplier ID],Table8[[#This Row],[Supplier ID]])</f>
        <v>1727667.6106250002</v>
      </c>
      <c r="E2">
        <f>SUMIFS(Table6[Payment Amount],Table6[Supplier ID],Table8[[#This Row],[Supplier ID]])</f>
        <v>1271960</v>
      </c>
      <c r="F2" s="12">
        <f>C2+D2-E2</f>
        <v>907267.6106250002</v>
      </c>
    </row>
    <row r="3" spans="1:6" x14ac:dyDescent="0.3">
      <c r="A3" s="1" t="s">
        <v>102</v>
      </c>
      <c r="C3">
        <v>0</v>
      </c>
      <c r="D3">
        <f>SUMIFS(Table511[Total Amount],Table511[Supplier ID],Table8[[#This Row],[Supplier ID]])</f>
        <v>196635.6</v>
      </c>
      <c r="E3">
        <f>SUMIFS(Table6[Payment Amount],Table6[Supplier ID],Table8[[#This Row],[Supplier ID]])</f>
        <v>196635.6</v>
      </c>
      <c r="F3" s="12">
        <f>C3+D3-E3</f>
        <v>0</v>
      </c>
    </row>
    <row r="4" spans="1:6" x14ac:dyDescent="0.3">
      <c r="A4" s="1"/>
    </row>
    <row r="17" spans="11:11" x14ac:dyDescent="0.3">
      <c r="K17" t="s">
        <v>121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B9D8-54FC-430F-99D3-C6E49BAE1F36}">
  <dimension ref="A1:K8"/>
  <sheetViews>
    <sheetView workbookViewId="0">
      <selection activeCell="C9" sqref="C9"/>
    </sheetView>
  </sheetViews>
  <sheetFormatPr defaultRowHeight="14.4" x14ac:dyDescent="0.3"/>
  <cols>
    <col min="1" max="1" width="17.88671875" bestFit="1" customWidth="1"/>
    <col min="2" max="2" width="9.33203125" bestFit="1" customWidth="1"/>
    <col min="3" max="3" width="13.5546875" bestFit="1" customWidth="1"/>
    <col min="4" max="4" width="10.21875" bestFit="1" customWidth="1"/>
    <col min="5" max="5" width="10" bestFit="1" customWidth="1"/>
    <col min="6" max="6" width="12.21875" bestFit="1" customWidth="1"/>
    <col min="7" max="7" width="10.33203125" bestFit="1" customWidth="1"/>
    <col min="8" max="8" width="13.6640625" bestFit="1" customWidth="1"/>
    <col min="9" max="9" width="11.33203125" bestFit="1" customWidth="1"/>
    <col min="10" max="10" width="19" bestFit="1" customWidth="1"/>
    <col min="11" max="11" width="12" bestFit="1" customWidth="1"/>
  </cols>
  <sheetData>
    <row r="1" spans="1:11" x14ac:dyDescent="0.3">
      <c r="A1" t="s">
        <v>216</v>
      </c>
      <c r="B1" t="s">
        <v>176</v>
      </c>
      <c r="C1" t="s">
        <v>217</v>
      </c>
      <c r="D1" t="s">
        <v>213</v>
      </c>
      <c r="E1" t="s">
        <v>179</v>
      </c>
      <c r="F1" t="s">
        <v>191</v>
      </c>
      <c r="G1" t="s">
        <v>181</v>
      </c>
      <c r="H1" t="s">
        <v>182</v>
      </c>
      <c r="I1" t="s">
        <v>185</v>
      </c>
      <c r="J1" t="s">
        <v>218</v>
      </c>
      <c r="K1" t="s">
        <v>187</v>
      </c>
    </row>
    <row r="2" spans="1:11" x14ac:dyDescent="0.3">
      <c r="A2" t="s">
        <v>85</v>
      </c>
      <c r="B2" s="1">
        <v>46165</v>
      </c>
      <c r="C2" t="s">
        <v>323</v>
      </c>
      <c r="D2" t="s">
        <v>101</v>
      </c>
      <c r="E2" t="s">
        <v>278</v>
      </c>
      <c r="F2" t="s">
        <v>282</v>
      </c>
      <c r="G2">
        <v>10</v>
      </c>
      <c r="H2">
        <v>2.5</v>
      </c>
      <c r="I2">
        <v>35.735250000000008</v>
      </c>
      <c r="J2">
        <v>19125</v>
      </c>
      <c r="K2">
        <f>Table511[[#This Row],[Volume (m³)]]*Table511[[#This Row],[Price per Cubic Meter]]</f>
        <v>683436.65625000012</v>
      </c>
    </row>
    <row r="3" spans="1:11" x14ac:dyDescent="0.3">
      <c r="A3" t="s">
        <v>85</v>
      </c>
      <c r="B3" s="1">
        <v>46165</v>
      </c>
      <c r="C3" t="s">
        <v>323</v>
      </c>
      <c r="D3" t="s">
        <v>101</v>
      </c>
      <c r="E3" t="s">
        <v>280</v>
      </c>
      <c r="F3" t="s">
        <v>284</v>
      </c>
      <c r="G3">
        <v>7.5</v>
      </c>
      <c r="H3">
        <v>7.5</v>
      </c>
      <c r="I3">
        <v>3.0543750000000003</v>
      </c>
      <c r="J3">
        <v>20925</v>
      </c>
      <c r="K3">
        <f>Table511[[#This Row],[Volume (m³)]]*Table511[[#This Row],[Price per Cubic Meter]]</f>
        <v>63912.796875000007</v>
      </c>
    </row>
    <row r="4" spans="1:11" x14ac:dyDescent="0.3">
      <c r="A4" t="s">
        <v>86</v>
      </c>
      <c r="B4" s="1">
        <v>46177</v>
      </c>
      <c r="D4" t="s">
        <v>102</v>
      </c>
      <c r="E4" t="s">
        <v>280</v>
      </c>
      <c r="F4" t="s">
        <v>284</v>
      </c>
      <c r="G4">
        <v>9</v>
      </c>
      <c r="H4">
        <v>7</v>
      </c>
      <c r="I4">
        <v>6.8040000000000003</v>
      </c>
      <c r="J4">
        <v>20400</v>
      </c>
      <c r="K4">
        <f>Table511[[#This Row],[Volume (m³)]]*Table511[[#This Row],[Price per Cubic Meter]]</f>
        <v>138801.60000000001</v>
      </c>
    </row>
    <row r="5" spans="1:11" x14ac:dyDescent="0.3">
      <c r="A5" t="s">
        <v>86</v>
      </c>
      <c r="B5" s="1">
        <v>46177</v>
      </c>
      <c r="D5" t="s">
        <v>102</v>
      </c>
      <c r="E5" t="s">
        <v>280</v>
      </c>
      <c r="F5" t="s">
        <v>284</v>
      </c>
      <c r="G5">
        <v>7.5</v>
      </c>
      <c r="H5">
        <v>7.5</v>
      </c>
      <c r="I5">
        <v>2.835</v>
      </c>
      <c r="J5">
        <v>20400</v>
      </c>
      <c r="K5">
        <f>Table511[[#This Row],[Volume (m³)]]*Table511[[#This Row],[Price per Cubic Meter]]</f>
        <v>57834</v>
      </c>
    </row>
    <row r="6" spans="1:11" x14ac:dyDescent="0.3">
      <c r="A6" t="s">
        <v>123</v>
      </c>
      <c r="B6" s="1">
        <v>46211</v>
      </c>
      <c r="C6" t="s">
        <v>323</v>
      </c>
      <c r="D6" t="s">
        <v>101</v>
      </c>
      <c r="E6" t="s">
        <v>278</v>
      </c>
      <c r="F6" t="s">
        <v>282</v>
      </c>
      <c r="G6">
        <v>10</v>
      </c>
      <c r="H6">
        <v>2.5</v>
      </c>
      <c r="I6">
        <v>34.237900000000003</v>
      </c>
      <c r="J6">
        <v>16025</v>
      </c>
      <c r="K6">
        <f>Table511[[#This Row],[Volume (m³)]]*Table511[[#This Row],[Price per Cubic Meter]]</f>
        <v>548662.34750000003</v>
      </c>
    </row>
    <row r="7" spans="1:11" x14ac:dyDescent="0.3">
      <c r="A7" t="s">
        <v>123</v>
      </c>
      <c r="B7" s="1">
        <v>46211</v>
      </c>
      <c r="C7" t="s">
        <v>323</v>
      </c>
      <c r="D7" t="s">
        <v>101</v>
      </c>
      <c r="E7" t="s">
        <v>278</v>
      </c>
      <c r="F7" t="s">
        <v>282</v>
      </c>
      <c r="G7">
        <v>10</v>
      </c>
      <c r="H7">
        <v>2.5</v>
      </c>
      <c r="I7">
        <v>26.936399999999999</v>
      </c>
      <c r="J7">
        <v>16025</v>
      </c>
      <c r="K7">
        <f>Table511[[#This Row],[Volume (m³)]]*Table511[[#This Row],[Price per Cubic Meter]]</f>
        <v>431655.81</v>
      </c>
    </row>
    <row r="8" spans="1:11" x14ac:dyDescent="0.3">
      <c r="A8" t="s">
        <v>149</v>
      </c>
      <c r="B8" s="1">
        <v>46224</v>
      </c>
      <c r="C8" t="s">
        <v>324</v>
      </c>
      <c r="D8" t="s">
        <v>148</v>
      </c>
      <c r="E8" t="s">
        <v>281</v>
      </c>
      <c r="F8" t="s">
        <v>284</v>
      </c>
      <c r="G8">
        <v>9</v>
      </c>
      <c r="H8">
        <v>7</v>
      </c>
      <c r="I8">
        <v>0.126</v>
      </c>
      <c r="J8">
        <v>11905</v>
      </c>
      <c r="K8">
        <f>Table511[[#This Row],[Volume (m³)]]*Table511[[#This Row],[Price per Cubic Meter]]</f>
        <v>1500.03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3BE2-ED89-2C4C-B6D4-E123FD6386C2}">
  <dimension ref="A1:M30"/>
  <sheetViews>
    <sheetView topLeftCell="A10" zoomScaleNormal="100" zoomScaleSheetLayoutView="100" workbookViewId="0">
      <selection activeCell="C31" sqref="C31"/>
    </sheetView>
  </sheetViews>
  <sheetFormatPr defaultRowHeight="14.4" x14ac:dyDescent="0.3"/>
  <cols>
    <col min="1" max="1" width="17.88671875" bestFit="1" customWidth="1"/>
    <col min="2" max="2" width="9.33203125" bestFit="1" customWidth="1"/>
    <col min="3" max="3" width="13.5546875" bestFit="1" customWidth="1"/>
    <col min="4" max="4" width="10.21875" bestFit="1" customWidth="1"/>
    <col min="5" max="5" width="10" bestFit="1" customWidth="1"/>
    <col min="6" max="6" width="12.21875" bestFit="1" customWidth="1"/>
    <col min="7" max="7" width="10.33203125" bestFit="1" customWidth="1"/>
    <col min="8" max="8" width="13.6640625" bestFit="1" customWidth="1"/>
    <col min="9" max="9" width="10.77734375" bestFit="1" customWidth="1"/>
    <col min="10" max="10" width="8.109375" bestFit="1" customWidth="1"/>
    <col min="11" max="11" width="11.33203125" bestFit="1" customWidth="1"/>
    <col min="12" max="12" width="19" bestFit="1" customWidth="1"/>
    <col min="13" max="13" width="20.44140625" bestFit="1" customWidth="1"/>
  </cols>
  <sheetData>
    <row r="1" spans="1:13" x14ac:dyDescent="0.3">
      <c r="A1" t="s">
        <v>216</v>
      </c>
      <c r="B1" t="s">
        <v>176</v>
      </c>
      <c r="C1" t="s">
        <v>217</v>
      </c>
      <c r="D1" t="s">
        <v>213</v>
      </c>
      <c r="E1" t="s">
        <v>179</v>
      </c>
      <c r="F1" t="s">
        <v>191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218</v>
      </c>
      <c r="M1" t="s">
        <v>220</v>
      </c>
    </row>
    <row r="2" spans="1:13" x14ac:dyDescent="0.3">
      <c r="A2" t="s">
        <v>85</v>
      </c>
      <c r="B2" s="1">
        <v>46165</v>
      </c>
      <c r="C2" t="s">
        <v>323</v>
      </c>
      <c r="D2" t="s">
        <v>101</v>
      </c>
      <c r="E2" t="s">
        <v>278</v>
      </c>
      <c r="F2" t="s">
        <v>282</v>
      </c>
      <c r="G2">
        <v>10</v>
      </c>
      <c r="H2">
        <v>2.5</v>
      </c>
      <c r="I2">
        <v>300</v>
      </c>
      <c r="J2">
        <v>457</v>
      </c>
      <c r="K2">
        <f>(G2/100)*(H2/100)*(I2/100)*J2</f>
        <v>3.4275000000000007</v>
      </c>
      <c r="L2">
        <v>19125</v>
      </c>
      <c r="M2" s="12">
        <f>AVERAGE(Table5[Price per Cubic Meter])</f>
        <v>17243.96551724138</v>
      </c>
    </row>
    <row r="3" spans="1:13" x14ac:dyDescent="0.3">
      <c r="A3" t="s">
        <v>85</v>
      </c>
      <c r="B3" s="1">
        <v>46165</v>
      </c>
      <c r="C3" t="s">
        <v>323</v>
      </c>
      <c r="D3" t="s">
        <v>101</v>
      </c>
      <c r="E3" t="s">
        <v>278</v>
      </c>
      <c r="F3" t="s">
        <v>282</v>
      </c>
      <c r="G3">
        <v>10</v>
      </c>
      <c r="H3">
        <v>2.5</v>
      </c>
      <c r="I3">
        <v>330</v>
      </c>
      <c r="J3">
        <v>451</v>
      </c>
      <c r="K3">
        <f t="shared" ref="K3:K14" si="0">(G3/100)*(H3/100)*(I3/100)*J3</f>
        <v>3.7207500000000002</v>
      </c>
      <c r="L3">
        <v>19125</v>
      </c>
      <c r="M3" s="12">
        <f>AVERAGE(Table5[Price per Cubic Meter])</f>
        <v>17243.96551724138</v>
      </c>
    </row>
    <row r="4" spans="1:13" x14ac:dyDescent="0.3">
      <c r="A4" t="s">
        <v>85</v>
      </c>
      <c r="B4" s="1">
        <v>46165</v>
      </c>
      <c r="C4" t="s">
        <v>323</v>
      </c>
      <c r="D4" t="s">
        <v>101</v>
      </c>
      <c r="E4" t="s">
        <v>278</v>
      </c>
      <c r="F4" t="s">
        <v>282</v>
      </c>
      <c r="G4">
        <v>10</v>
      </c>
      <c r="H4">
        <v>2.5</v>
      </c>
      <c r="I4">
        <v>360</v>
      </c>
      <c r="J4">
        <v>459</v>
      </c>
      <c r="K4">
        <f t="shared" si="0"/>
        <v>4.1310000000000011</v>
      </c>
      <c r="L4">
        <v>19125</v>
      </c>
      <c r="M4" s="12">
        <f>AVERAGE(Table5[Price per Cubic Meter])</f>
        <v>17243.96551724138</v>
      </c>
    </row>
    <row r="5" spans="1:13" x14ac:dyDescent="0.3">
      <c r="A5" t="s">
        <v>85</v>
      </c>
      <c r="B5" s="1">
        <v>46165</v>
      </c>
      <c r="C5" t="s">
        <v>323</v>
      </c>
      <c r="D5" t="s">
        <v>101</v>
      </c>
      <c r="E5" t="s">
        <v>278</v>
      </c>
      <c r="F5" t="s">
        <v>282</v>
      </c>
      <c r="G5">
        <v>10</v>
      </c>
      <c r="H5">
        <v>2.5</v>
      </c>
      <c r="I5">
        <v>390</v>
      </c>
      <c r="J5">
        <v>449</v>
      </c>
      <c r="K5">
        <f t="shared" si="0"/>
        <v>4.3777500000000007</v>
      </c>
      <c r="L5">
        <v>19125</v>
      </c>
      <c r="M5" s="12">
        <f>AVERAGE(Table5[Price per Cubic Meter])</f>
        <v>17243.96551724138</v>
      </c>
    </row>
    <row r="6" spans="1:13" x14ac:dyDescent="0.3">
      <c r="A6" t="s">
        <v>85</v>
      </c>
      <c r="B6" s="1">
        <v>46165</v>
      </c>
      <c r="C6" t="s">
        <v>323</v>
      </c>
      <c r="D6" t="s">
        <v>101</v>
      </c>
      <c r="E6" t="s">
        <v>278</v>
      </c>
      <c r="F6" t="s">
        <v>282</v>
      </c>
      <c r="G6">
        <v>10</v>
      </c>
      <c r="H6">
        <v>2.5</v>
      </c>
      <c r="I6">
        <v>420</v>
      </c>
      <c r="J6">
        <v>901</v>
      </c>
      <c r="K6">
        <f t="shared" si="0"/>
        <v>9.4605000000000015</v>
      </c>
      <c r="L6">
        <v>19125</v>
      </c>
      <c r="M6" s="12">
        <f>AVERAGE(Table5[Price per Cubic Meter])</f>
        <v>17243.96551724138</v>
      </c>
    </row>
    <row r="7" spans="1:13" x14ac:dyDescent="0.3">
      <c r="A7" t="s">
        <v>85</v>
      </c>
      <c r="B7" s="1">
        <v>46165</v>
      </c>
      <c r="C7" t="s">
        <v>323</v>
      </c>
      <c r="D7" t="s">
        <v>101</v>
      </c>
      <c r="E7" t="s">
        <v>278</v>
      </c>
      <c r="F7" t="s">
        <v>282</v>
      </c>
      <c r="G7">
        <v>10</v>
      </c>
      <c r="H7">
        <v>2.5</v>
      </c>
      <c r="I7">
        <v>450</v>
      </c>
      <c r="J7">
        <v>451</v>
      </c>
      <c r="K7">
        <f t="shared" si="0"/>
        <v>5.0737500000000013</v>
      </c>
      <c r="L7">
        <v>19125</v>
      </c>
      <c r="M7" s="12">
        <f>AVERAGE(Table5[Price per Cubic Meter])</f>
        <v>17243.96551724138</v>
      </c>
    </row>
    <row r="8" spans="1:13" x14ac:dyDescent="0.3">
      <c r="A8" t="s">
        <v>85</v>
      </c>
      <c r="B8" s="1">
        <v>46165</v>
      </c>
      <c r="C8" t="s">
        <v>323</v>
      </c>
      <c r="D8" t="s">
        <v>101</v>
      </c>
      <c r="E8" t="s">
        <v>278</v>
      </c>
      <c r="F8" t="s">
        <v>282</v>
      </c>
      <c r="G8">
        <v>10</v>
      </c>
      <c r="H8">
        <v>2.5</v>
      </c>
      <c r="I8">
        <v>480</v>
      </c>
      <c r="J8">
        <v>462</v>
      </c>
      <c r="K8">
        <f t="shared" si="0"/>
        <v>5.5440000000000005</v>
      </c>
      <c r="L8">
        <v>19125</v>
      </c>
      <c r="M8" s="12">
        <f>AVERAGE(Table5[Price per Cubic Meter])</f>
        <v>17243.96551724138</v>
      </c>
    </row>
    <row r="9" spans="1:13" x14ac:dyDescent="0.3">
      <c r="A9" t="s">
        <v>85</v>
      </c>
      <c r="B9" s="1">
        <v>46165</v>
      </c>
      <c r="C9" t="s">
        <v>323</v>
      </c>
      <c r="D9" t="s">
        <v>101</v>
      </c>
      <c r="E9" t="s">
        <v>280</v>
      </c>
      <c r="F9" t="s">
        <v>284</v>
      </c>
      <c r="G9">
        <v>7.5</v>
      </c>
      <c r="H9">
        <v>7.5</v>
      </c>
      <c r="I9">
        <v>300</v>
      </c>
      <c r="J9">
        <v>181</v>
      </c>
      <c r="K9">
        <f t="shared" si="0"/>
        <v>3.0543750000000003</v>
      </c>
      <c r="L9">
        <v>20925</v>
      </c>
      <c r="M9" s="12">
        <f>AVERAGE(Table5[Price per Cubic Meter])</f>
        <v>17243.96551724138</v>
      </c>
    </row>
    <row r="10" spans="1:13" x14ac:dyDescent="0.3">
      <c r="A10" t="s">
        <v>86</v>
      </c>
      <c r="B10" s="1">
        <v>46177</v>
      </c>
      <c r="D10" t="s">
        <v>102</v>
      </c>
      <c r="E10" t="s">
        <v>280</v>
      </c>
      <c r="F10" t="s">
        <v>284</v>
      </c>
      <c r="G10">
        <v>9</v>
      </c>
      <c r="H10">
        <v>7</v>
      </c>
      <c r="I10">
        <v>300</v>
      </c>
      <c r="J10">
        <v>360</v>
      </c>
      <c r="K10">
        <f t="shared" si="0"/>
        <v>6.8040000000000003</v>
      </c>
      <c r="L10">
        <v>20400</v>
      </c>
      <c r="M10" s="12">
        <f>AVERAGE(Table5[Price per Cubic Meter])</f>
        <v>17243.96551724138</v>
      </c>
    </row>
    <row r="11" spans="1:13" x14ac:dyDescent="0.3">
      <c r="A11" t="s">
        <v>86</v>
      </c>
      <c r="B11" s="1">
        <v>46177</v>
      </c>
      <c r="D11" t="s">
        <v>102</v>
      </c>
      <c r="E11" t="s">
        <v>280</v>
      </c>
      <c r="F11" t="s">
        <v>284</v>
      </c>
      <c r="G11">
        <v>7.5</v>
      </c>
      <c r="H11">
        <v>7.5</v>
      </c>
      <c r="I11">
        <v>300</v>
      </c>
      <c r="J11">
        <v>168</v>
      </c>
      <c r="K11">
        <f t="shared" si="0"/>
        <v>2.835</v>
      </c>
      <c r="L11">
        <v>20400</v>
      </c>
      <c r="M11" s="12">
        <f>AVERAGE(Table5[Price per Cubic Meter])</f>
        <v>17243.96551724138</v>
      </c>
    </row>
    <row r="12" spans="1:13" x14ac:dyDescent="0.3">
      <c r="A12" t="s">
        <v>123</v>
      </c>
      <c r="B12" s="1">
        <v>46211</v>
      </c>
      <c r="C12" t="s">
        <v>323</v>
      </c>
      <c r="D12" t="s">
        <v>101</v>
      </c>
      <c r="E12" t="s">
        <v>278</v>
      </c>
      <c r="F12" t="s">
        <v>283</v>
      </c>
      <c r="G12">
        <v>10</v>
      </c>
      <c r="H12">
        <v>2.5</v>
      </c>
      <c r="I12">
        <v>90</v>
      </c>
      <c r="J12">
        <v>416</v>
      </c>
      <c r="K12">
        <f t="shared" si="0"/>
        <v>0.93600000000000028</v>
      </c>
      <c r="L12">
        <v>16025</v>
      </c>
      <c r="M12" s="12">
        <f>AVERAGE(Table5[Price per Cubic Meter])</f>
        <v>17243.96551724138</v>
      </c>
    </row>
    <row r="13" spans="1:13" x14ac:dyDescent="0.3">
      <c r="A13" t="s">
        <v>123</v>
      </c>
      <c r="B13" s="1">
        <v>46211</v>
      </c>
      <c r="C13" t="s">
        <v>323</v>
      </c>
      <c r="D13" t="s">
        <v>101</v>
      </c>
      <c r="E13" t="s">
        <v>278</v>
      </c>
      <c r="F13" t="s">
        <v>283</v>
      </c>
      <c r="G13">
        <v>10</v>
      </c>
      <c r="H13">
        <v>2.5</v>
      </c>
      <c r="I13">
        <v>120</v>
      </c>
      <c r="J13">
        <v>186</v>
      </c>
      <c r="K13">
        <f t="shared" si="0"/>
        <v>0.55800000000000005</v>
      </c>
      <c r="L13">
        <v>16025</v>
      </c>
      <c r="M13" s="12">
        <f>AVERAGE(Table5[Price per Cubic Meter])</f>
        <v>17243.96551724138</v>
      </c>
    </row>
    <row r="14" spans="1:13" x14ac:dyDescent="0.3">
      <c r="A14" t="s">
        <v>123</v>
      </c>
      <c r="B14" s="1">
        <v>46211</v>
      </c>
      <c r="C14" t="s">
        <v>323</v>
      </c>
      <c r="D14" t="s">
        <v>101</v>
      </c>
      <c r="E14" t="s">
        <v>278</v>
      </c>
      <c r="F14" t="s">
        <v>283</v>
      </c>
      <c r="G14">
        <v>10</v>
      </c>
      <c r="H14">
        <v>2.5</v>
      </c>
      <c r="I14">
        <v>150</v>
      </c>
      <c r="J14">
        <v>87</v>
      </c>
      <c r="K14">
        <f t="shared" si="0"/>
        <v>0.32625000000000004</v>
      </c>
      <c r="L14">
        <v>16025</v>
      </c>
      <c r="M14" s="12">
        <f>AVERAGE(Table5[Price per Cubic Meter])</f>
        <v>17243.96551724138</v>
      </c>
    </row>
    <row r="15" spans="1:13" x14ac:dyDescent="0.3">
      <c r="A15" t="s">
        <v>123</v>
      </c>
      <c r="B15" s="1">
        <v>46211</v>
      </c>
      <c r="C15" t="s">
        <v>323</v>
      </c>
      <c r="D15" t="s">
        <v>101</v>
      </c>
      <c r="E15" t="s">
        <v>278</v>
      </c>
      <c r="F15" t="s">
        <v>283</v>
      </c>
      <c r="G15">
        <v>10</v>
      </c>
      <c r="H15">
        <v>2.5</v>
      </c>
      <c r="I15">
        <v>180</v>
      </c>
      <c r="J15">
        <v>75</v>
      </c>
      <c r="K15">
        <f>(G15/100)*(H15/100)*(I15/100)*J15</f>
        <v>0.33750000000000008</v>
      </c>
      <c r="L15">
        <v>16025</v>
      </c>
      <c r="M15" s="12">
        <f>AVERAGE(Table5[Price per Cubic Meter])</f>
        <v>17243.96551724138</v>
      </c>
    </row>
    <row r="16" spans="1:13" x14ac:dyDescent="0.3">
      <c r="A16" t="s">
        <v>123</v>
      </c>
      <c r="B16" s="1">
        <v>46211</v>
      </c>
      <c r="C16" t="s">
        <v>323</v>
      </c>
      <c r="D16" t="s">
        <v>101</v>
      </c>
      <c r="E16" t="s">
        <v>278</v>
      </c>
      <c r="F16" t="s">
        <v>282</v>
      </c>
      <c r="G16">
        <v>10</v>
      </c>
      <c r="H16">
        <v>2.5</v>
      </c>
      <c r="I16">
        <v>210</v>
      </c>
      <c r="J16">
        <v>91</v>
      </c>
      <c r="K16">
        <f t="shared" ref="K16:K21" si="1">(G16/100)*(H16/100)*(I16/100)*J16</f>
        <v>0.47775000000000012</v>
      </c>
      <c r="L16">
        <v>16025</v>
      </c>
      <c r="M16" s="12">
        <f>AVERAGE(Table5[Price per Cubic Meter])</f>
        <v>17243.96551724138</v>
      </c>
    </row>
    <row r="17" spans="1:13" x14ac:dyDescent="0.3">
      <c r="A17" t="s">
        <v>123</v>
      </c>
      <c r="B17" s="1">
        <v>46211</v>
      </c>
      <c r="C17" t="s">
        <v>323</v>
      </c>
      <c r="D17" t="s">
        <v>101</v>
      </c>
      <c r="E17" t="s">
        <v>278</v>
      </c>
      <c r="F17" t="s">
        <v>282</v>
      </c>
      <c r="G17">
        <v>10</v>
      </c>
      <c r="H17">
        <v>2.5</v>
      </c>
      <c r="I17">
        <v>240</v>
      </c>
      <c r="J17">
        <v>313</v>
      </c>
      <c r="K17">
        <f t="shared" si="1"/>
        <v>1.8780000000000003</v>
      </c>
      <c r="L17">
        <v>16025</v>
      </c>
      <c r="M17" s="12">
        <f>AVERAGE(Table5[Price per Cubic Meter])</f>
        <v>17243.96551724138</v>
      </c>
    </row>
    <row r="18" spans="1:13" x14ac:dyDescent="0.3">
      <c r="A18" t="s">
        <v>123</v>
      </c>
      <c r="B18" s="1">
        <v>46211</v>
      </c>
      <c r="C18" t="s">
        <v>323</v>
      </c>
      <c r="D18" t="s">
        <v>101</v>
      </c>
      <c r="E18" t="s">
        <v>278</v>
      </c>
      <c r="F18" t="s">
        <v>282</v>
      </c>
      <c r="G18">
        <v>10</v>
      </c>
      <c r="H18">
        <v>2.5</v>
      </c>
      <c r="I18">
        <v>270</v>
      </c>
      <c r="J18">
        <v>249</v>
      </c>
      <c r="K18">
        <f t="shared" si="1"/>
        <v>1.6807500000000004</v>
      </c>
      <c r="L18">
        <v>16025</v>
      </c>
      <c r="M18" s="12">
        <f>AVERAGE(Table5[Price per Cubic Meter])</f>
        <v>17243.96551724138</v>
      </c>
    </row>
    <row r="19" spans="1:13" x14ac:dyDescent="0.3">
      <c r="A19" t="s">
        <v>123</v>
      </c>
      <c r="B19" s="1">
        <v>46211</v>
      </c>
      <c r="C19" t="s">
        <v>323</v>
      </c>
      <c r="D19" t="s">
        <v>101</v>
      </c>
      <c r="E19" t="s">
        <v>278</v>
      </c>
      <c r="F19" t="s">
        <v>282</v>
      </c>
      <c r="G19">
        <v>10</v>
      </c>
      <c r="H19">
        <v>2.5</v>
      </c>
      <c r="I19">
        <v>300</v>
      </c>
      <c r="J19">
        <v>133</v>
      </c>
      <c r="K19">
        <f t="shared" si="1"/>
        <v>0.99750000000000016</v>
      </c>
      <c r="L19">
        <v>16025</v>
      </c>
      <c r="M19" s="12">
        <f>AVERAGE(Table5[Price per Cubic Meter])</f>
        <v>17243.96551724138</v>
      </c>
    </row>
    <row r="20" spans="1:13" x14ac:dyDescent="0.3">
      <c r="A20" t="s">
        <v>123</v>
      </c>
      <c r="B20" s="1">
        <v>46211</v>
      </c>
      <c r="C20" t="s">
        <v>323</v>
      </c>
      <c r="D20" t="s">
        <v>101</v>
      </c>
      <c r="E20" t="s">
        <v>278</v>
      </c>
      <c r="F20" t="s">
        <v>282</v>
      </c>
      <c r="G20">
        <v>10</v>
      </c>
      <c r="H20">
        <v>2.5</v>
      </c>
      <c r="I20">
        <v>330</v>
      </c>
      <c r="J20">
        <v>202</v>
      </c>
      <c r="K20">
        <f t="shared" si="1"/>
        <v>1.6665000000000001</v>
      </c>
      <c r="L20">
        <v>16025</v>
      </c>
      <c r="M20" s="12">
        <f>AVERAGE(Table5[Price per Cubic Meter])</f>
        <v>17243.96551724138</v>
      </c>
    </row>
    <row r="21" spans="1:13" x14ac:dyDescent="0.3">
      <c r="A21" t="s">
        <v>123</v>
      </c>
      <c r="B21" s="1">
        <v>46211</v>
      </c>
      <c r="C21" t="s">
        <v>323</v>
      </c>
      <c r="D21" t="s">
        <v>101</v>
      </c>
      <c r="E21" t="s">
        <v>278</v>
      </c>
      <c r="F21" t="s">
        <v>282</v>
      </c>
      <c r="G21">
        <v>10</v>
      </c>
      <c r="H21">
        <v>2.5</v>
      </c>
      <c r="I21">
        <v>360</v>
      </c>
      <c r="J21">
        <v>963</v>
      </c>
      <c r="K21">
        <f t="shared" si="1"/>
        <v>8.6670000000000034</v>
      </c>
      <c r="L21">
        <v>16025</v>
      </c>
      <c r="M21" s="12">
        <f>AVERAGE(Table5[Price per Cubic Meter])</f>
        <v>17243.96551724138</v>
      </c>
    </row>
    <row r="22" spans="1:13" x14ac:dyDescent="0.3">
      <c r="A22" t="s">
        <v>123</v>
      </c>
      <c r="B22" s="1">
        <v>46211</v>
      </c>
      <c r="C22" t="s">
        <v>323</v>
      </c>
      <c r="D22" t="s">
        <v>101</v>
      </c>
      <c r="E22" t="s">
        <v>278</v>
      </c>
      <c r="F22" t="s">
        <v>282</v>
      </c>
      <c r="G22">
        <v>10</v>
      </c>
      <c r="H22">
        <v>2.5</v>
      </c>
      <c r="I22">
        <v>390</v>
      </c>
      <c r="J22">
        <v>707</v>
      </c>
      <c r="K22">
        <f t="shared" ref="K22:K29" si="2">(G22/100)*(H22/100)*(I22/100)*J22</f>
        <v>6.893250000000001</v>
      </c>
      <c r="L22">
        <v>16025</v>
      </c>
      <c r="M22" s="12">
        <f>AVERAGE(Table5[Price per Cubic Meter])</f>
        <v>17243.96551724138</v>
      </c>
    </row>
    <row r="23" spans="1:13" x14ac:dyDescent="0.3">
      <c r="A23" t="s">
        <v>123</v>
      </c>
      <c r="B23" s="1">
        <v>46211</v>
      </c>
      <c r="C23" t="s">
        <v>323</v>
      </c>
      <c r="D23" t="s">
        <v>101</v>
      </c>
      <c r="E23" t="s">
        <v>278</v>
      </c>
      <c r="F23" t="s">
        <v>282</v>
      </c>
      <c r="G23">
        <v>10</v>
      </c>
      <c r="H23">
        <v>2.5</v>
      </c>
      <c r="I23">
        <v>420</v>
      </c>
      <c r="J23">
        <v>733</v>
      </c>
      <c r="K23">
        <f t="shared" si="2"/>
        <v>7.6965000000000021</v>
      </c>
      <c r="L23">
        <v>16025</v>
      </c>
      <c r="M23" s="12">
        <f>AVERAGE(Table5[Price per Cubic Meter])</f>
        <v>17243.96551724138</v>
      </c>
    </row>
    <row r="24" spans="1:13" x14ac:dyDescent="0.3">
      <c r="A24" t="s">
        <v>123</v>
      </c>
      <c r="B24" s="1">
        <v>46211</v>
      </c>
      <c r="C24" t="s">
        <v>323</v>
      </c>
      <c r="D24" t="s">
        <v>101</v>
      </c>
      <c r="E24" t="s">
        <v>278</v>
      </c>
      <c r="F24" t="s">
        <v>282</v>
      </c>
      <c r="G24">
        <v>10</v>
      </c>
      <c r="H24">
        <v>2.5</v>
      </c>
      <c r="I24">
        <v>450</v>
      </c>
      <c r="J24">
        <v>719</v>
      </c>
      <c r="K24">
        <f t="shared" si="2"/>
        <v>8.0887500000000028</v>
      </c>
      <c r="L24">
        <v>16025</v>
      </c>
      <c r="M24" s="12">
        <f>AVERAGE(Table5[Price per Cubic Meter])</f>
        <v>17243.96551724138</v>
      </c>
    </row>
    <row r="25" spans="1:13" x14ac:dyDescent="0.3">
      <c r="A25" t="s">
        <v>123</v>
      </c>
      <c r="B25" s="1">
        <v>46211</v>
      </c>
      <c r="C25" t="s">
        <v>323</v>
      </c>
      <c r="D25" t="s">
        <v>101</v>
      </c>
      <c r="E25" t="s">
        <v>278</v>
      </c>
      <c r="F25" t="s">
        <v>282</v>
      </c>
      <c r="G25">
        <v>10</v>
      </c>
      <c r="H25">
        <v>2.5</v>
      </c>
      <c r="I25">
        <v>480</v>
      </c>
      <c r="J25">
        <v>349</v>
      </c>
      <c r="K25">
        <f t="shared" si="2"/>
        <v>4.1880000000000006</v>
      </c>
      <c r="L25">
        <v>16025</v>
      </c>
      <c r="M25" s="12">
        <f>AVERAGE(Table5[Price per Cubic Meter])</f>
        <v>17243.96551724138</v>
      </c>
    </row>
    <row r="26" spans="1:13" x14ac:dyDescent="0.3">
      <c r="A26" t="s">
        <v>123</v>
      </c>
      <c r="B26" s="1">
        <v>46211</v>
      </c>
      <c r="C26" t="s">
        <v>323</v>
      </c>
      <c r="D26" t="s">
        <v>101</v>
      </c>
      <c r="E26" t="s">
        <v>278</v>
      </c>
      <c r="F26" t="s">
        <v>282</v>
      </c>
      <c r="G26">
        <v>10</v>
      </c>
      <c r="H26">
        <v>2.5</v>
      </c>
      <c r="I26">
        <v>510</v>
      </c>
      <c r="J26">
        <v>571</v>
      </c>
      <c r="K26">
        <f t="shared" si="2"/>
        <v>7.2802500000000006</v>
      </c>
      <c r="L26">
        <v>16025</v>
      </c>
      <c r="M26" s="12">
        <f>AVERAGE(Table5[Price per Cubic Meter])</f>
        <v>17243.96551724138</v>
      </c>
    </row>
    <row r="27" spans="1:13" x14ac:dyDescent="0.3">
      <c r="A27" t="s">
        <v>123</v>
      </c>
      <c r="B27" s="1">
        <v>46211</v>
      </c>
      <c r="C27" t="s">
        <v>323</v>
      </c>
      <c r="D27" t="s">
        <v>101</v>
      </c>
      <c r="E27" t="s">
        <v>278</v>
      </c>
      <c r="F27" t="s">
        <v>282</v>
      </c>
      <c r="G27">
        <v>10</v>
      </c>
      <c r="H27">
        <v>2.5</v>
      </c>
      <c r="I27">
        <v>540</v>
      </c>
      <c r="J27">
        <v>623</v>
      </c>
      <c r="K27">
        <f t="shared" si="2"/>
        <v>8.4105000000000025</v>
      </c>
      <c r="L27">
        <v>16025</v>
      </c>
      <c r="M27" s="12">
        <f>AVERAGE(Table5[Price per Cubic Meter])</f>
        <v>17243.96551724138</v>
      </c>
    </row>
    <row r="28" spans="1:13" x14ac:dyDescent="0.3">
      <c r="A28" t="s">
        <v>123</v>
      </c>
      <c r="B28" s="1">
        <v>46211</v>
      </c>
      <c r="C28" t="s">
        <v>323</v>
      </c>
      <c r="D28" t="s">
        <v>101</v>
      </c>
      <c r="E28" t="s">
        <v>278</v>
      </c>
      <c r="F28" t="s">
        <v>282</v>
      </c>
      <c r="G28">
        <v>10</v>
      </c>
      <c r="H28">
        <v>2.5</v>
      </c>
      <c r="I28">
        <v>570</v>
      </c>
      <c r="J28">
        <v>0</v>
      </c>
      <c r="K28">
        <f t="shared" si="2"/>
        <v>0</v>
      </c>
      <c r="L28">
        <v>16025</v>
      </c>
      <c r="M28" s="12">
        <f>AVERAGE(Table5[Price per Cubic Meter])</f>
        <v>17243.96551724138</v>
      </c>
    </row>
    <row r="29" spans="1:13" x14ac:dyDescent="0.3">
      <c r="A29" t="s">
        <v>123</v>
      </c>
      <c r="B29" s="1">
        <v>46211</v>
      </c>
      <c r="C29" t="s">
        <v>323</v>
      </c>
      <c r="D29" t="s">
        <v>101</v>
      </c>
      <c r="E29" t="s">
        <v>278</v>
      </c>
      <c r="F29" t="s">
        <v>282</v>
      </c>
      <c r="G29">
        <v>10</v>
      </c>
      <c r="H29">
        <v>2.5</v>
      </c>
      <c r="I29">
        <v>600</v>
      </c>
      <c r="J29">
        <v>0</v>
      </c>
      <c r="K29">
        <f t="shared" si="2"/>
        <v>0</v>
      </c>
      <c r="L29">
        <v>16025</v>
      </c>
      <c r="M29" s="12">
        <f>AVERAGE(Table5[Price per Cubic Meter])</f>
        <v>17243.96551724138</v>
      </c>
    </row>
    <row r="30" spans="1:13" x14ac:dyDescent="0.3">
      <c r="A30" t="s">
        <v>149</v>
      </c>
      <c r="B30" s="1">
        <v>46224</v>
      </c>
      <c r="C30" t="s">
        <v>324</v>
      </c>
      <c r="D30" t="s">
        <v>148</v>
      </c>
      <c r="E30" t="s">
        <v>281</v>
      </c>
      <c r="F30" t="s">
        <v>284</v>
      </c>
      <c r="G30">
        <v>9</v>
      </c>
      <c r="H30">
        <v>7</v>
      </c>
      <c r="I30">
        <v>400</v>
      </c>
      <c r="J30">
        <v>5</v>
      </c>
      <c r="K30">
        <f>(G30/100)*(H30/100)*(I30/100)*J30</f>
        <v>0.126</v>
      </c>
      <c r="L30">
        <v>16025</v>
      </c>
      <c r="M30" s="12">
        <f>AVERAGE(Table5[Price per Cubic Meter])</f>
        <v>17243.96551724138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F733-695F-8D48-8EEE-BF20C136E8EE}">
  <dimension ref="A1:E21"/>
  <sheetViews>
    <sheetView zoomScaleNormal="100" zoomScaleSheetLayoutView="100" workbookViewId="0">
      <selection activeCell="B4" sqref="B4"/>
    </sheetView>
  </sheetViews>
  <sheetFormatPr defaultRowHeight="14.4" x14ac:dyDescent="0.3"/>
  <cols>
    <col min="1" max="1" width="18.88671875" style="1" bestFit="1" customWidth="1"/>
    <col min="2" max="2" width="16.109375" bestFit="1" customWidth="1"/>
    <col min="3" max="3" width="16.21875" customWidth="1"/>
    <col min="4" max="4" width="14.6640625" bestFit="1" customWidth="1"/>
    <col min="5" max="5" width="14.21875" bestFit="1" customWidth="1"/>
  </cols>
  <sheetData>
    <row r="1" spans="1:5" x14ac:dyDescent="0.3">
      <c r="A1" s="1" t="s">
        <v>221</v>
      </c>
      <c r="B1" t="s">
        <v>177</v>
      </c>
      <c r="C1" t="s">
        <v>178</v>
      </c>
      <c r="D1" t="s">
        <v>200</v>
      </c>
      <c r="E1" t="s">
        <v>215</v>
      </c>
    </row>
    <row r="2" spans="1:5" x14ac:dyDescent="0.3">
      <c r="A2" s="1">
        <v>46165</v>
      </c>
      <c r="B2" t="s">
        <v>273</v>
      </c>
      <c r="C2" t="str">
        <f>_xlfn.XLOOKUP(B2,'Customer Receivables'!A:A,'Customer Receivables'!B:B," ")</f>
        <v>C-029</v>
      </c>
      <c r="D2">
        <v>10000</v>
      </c>
    </row>
    <row r="3" spans="1:5" x14ac:dyDescent="0.3">
      <c r="A3" s="1">
        <v>46133</v>
      </c>
      <c r="B3" t="s">
        <v>245</v>
      </c>
      <c r="C3" t="str">
        <f>_xlfn.XLOOKUP(B3,'Customer Receivables'!A:A,'Customer Receivables'!B:B," ")</f>
        <v>C-035</v>
      </c>
      <c r="D3">
        <v>27800</v>
      </c>
    </row>
    <row r="4" spans="1:5" x14ac:dyDescent="0.3">
      <c r="A4" s="1">
        <v>46171</v>
      </c>
      <c r="B4" t="s">
        <v>224</v>
      </c>
      <c r="C4" t="str">
        <f>_xlfn.XLOOKUP(B4,'Customer Receivables'!A:A,'Customer Receivables'!B:B," ")</f>
        <v>C-007</v>
      </c>
      <c r="D4">
        <v>49200</v>
      </c>
    </row>
    <row r="5" spans="1:5" x14ac:dyDescent="0.3">
      <c r="A5" s="1">
        <v>46168</v>
      </c>
      <c r="B5" t="s">
        <v>240</v>
      </c>
      <c r="C5" t="str">
        <f>_xlfn.XLOOKUP(B5,'Customer Receivables'!A:A,'Customer Receivables'!B:B," ")</f>
        <v>C-027</v>
      </c>
      <c r="D5">
        <v>9000</v>
      </c>
    </row>
    <row r="6" spans="1:5" x14ac:dyDescent="0.3">
      <c r="A6" s="1">
        <v>46163</v>
      </c>
      <c r="B6" t="s">
        <v>244</v>
      </c>
      <c r="C6" t="str">
        <f>_xlfn.XLOOKUP(B6,'Customer Receivables'!A:A,'Customer Receivables'!B:B," ")</f>
        <v>C-034</v>
      </c>
      <c r="D6">
        <v>40000</v>
      </c>
    </row>
    <row r="7" spans="1:5" x14ac:dyDescent="0.3">
      <c r="A7" s="1">
        <v>46163</v>
      </c>
      <c r="B7" t="s">
        <v>274</v>
      </c>
      <c r="C7" t="str">
        <f>_xlfn.XLOOKUP(B7,'Customer Receivables'!A:A,'Customer Receivables'!B:B," ")</f>
        <v>C-031</v>
      </c>
      <c r="D7">
        <v>35500</v>
      </c>
    </row>
    <row r="8" spans="1:5" x14ac:dyDescent="0.3">
      <c r="A8" s="1">
        <v>45797</v>
      </c>
      <c r="B8" t="s">
        <v>267</v>
      </c>
      <c r="C8" t="str">
        <f>_xlfn.XLOOKUP(B8,'Customer Receivables'!A:A,'Customer Receivables'!B:B," ")</f>
        <v>C-006</v>
      </c>
      <c r="D8">
        <v>2350</v>
      </c>
    </row>
    <row r="9" spans="1:5" x14ac:dyDescent="0.3">
      <c r="A9" s="1">
        <v>46168</v>
      </c>
      <c r="B9" t="s">
        <v>243</v>
      </c>
      <c r="C9" t="str">
        <f>_xlfn.XLOOKUP(B9,'Customer Receivables'!A:A,'Customer Receivables'!B:B," ")</f>
        <v>C-033</v>
      </c>
      <c r="D9">
        <v>16000</v>
      </c>
    </row>
    <row r="10" spans="1:5" x14ac:dyDescent="0.3">
      <c r="A10" s="1">
        <v>46165</v>
      </c>
      <c r="B10" t="s">
        <v>223</v>
      </c>
      <c r="C10" t="str">
        <f>_xlfn.XLOOKUP(B10,'Customer Receivables'!A:A,'Customer Receivables'!B:B," ")</f>
        <v>C-003</v>
      </c>
      <c r="D10">
        <v>29560</v>
      </c>
    </row>
    <row r="11" spans="1:5" x14ac:dyDescent="0.3">
      <c r="A11" s="1">
        <v>46167</v>
      </c>
      <c r="B11" t="s">
        <v>265</v>
      </c>
      <c r="C11" t="str">
        <f>_xlfn.XLOOKUP(B11,'Customer Receivables'!A:A,'Customer Receivables'!B:B," ")</f>
        <v>C-002</v>
      </c>
      <c r="D11">
        <v>2500</v>
      </c>
    </row>
    <row r="12" spans="1:5" x14ac:dyDescent="0.3">
      <c r="A12" s="1">
        <v>46165</v>
      </c>
      <c r="B12" t="s">
        <v>242</v>
      </c>
      <c r="C12" t="str">
        <f>_xlfn.XLOOKUP(B12,'Customer Receivables'!A:A,'Customer Receivables'!B:B," ")</f>
        <v>C-032</v>
      </c>
      <c r="D12">
        <v>9000</v>
      </c>
    </row>
    <row r="13" spans="1:5" x14ac:dyDescent="0.3">
      <c r="A13" s="1">
        <v>46190</v>
      </c>
      <c r="B13" t="s">
        <v>223</v>
      </c>
      <c r="C13" t="str">
        <f>_xlfn.XLOOKUP(B13,'Customer Receivables'!A:A,'Customer Receivables'!B:B," ")</f>
        <v>C-003</v>
      </c>
      <c r="D13">
        <v>2000</v>
      </c>
      <c r="E13" t="s">
        <v>3</v>
      </c>
    </row>
    <row r="14" spans="1:5" x14ac:dyDescent="0.3">
      <c r="A14" s="1">
        <v>46182</v>
      </c>
      <c r="B14" t="s">
        <v>223</v>
      </c>
      <c r="C14" t="str">
        <f>_xlfn.XLOOKUP(B14,'Customer Receivables'!A:A,'Customer Receivables'!B:B," ")</f>
        <v>C-003</v>
      </c>
      <c r="D14">
        <v>11000</v>
      </c>
      <c r="E14" t="s">
        <v>79</v>
      </c>
    </row>
    <row r="15" spans="1:5" x14ac:dyDescent="0.3">
      <c r="A15" s="1">
        <v>46186</v>
      </c>
      <c r="B15" t="s">
        <v>265</v>
      </c>
      <c r="C15" t="str">
        <f>_xlfn.XLOOKUP(B15,'Customer Receivables'!A:A,'Customer Receivables'!B:B," ")</f>
        <v>C-002</v>
      </c>
      <c r="D15">
        <v>-8100</v>
      </c>
      <c r="E15" t="s">
        <v>81</v>
      </c>
    </row>
    <row r="16" spans="1:5" x14ac:dyDescent="0.3">
      <c r="A16" s="1">
        <v>46188</v>
      </c>
      <c r="B16" t="s">
        <v>265</v>
      </c>
      <c r="C16" t="str">
        <f>_xlfn.XLOOKUP(B16,'Customer Receivables'!A:A,'Customer Receivables'!B:B," ")</f>
        <v>C-002</v>
      </c>
      <c r="D16">
        <v>-34100</v>
      </c>
      <c r="E16" t="s">
        <v>82</v>
      </c>
    </row>
    <row r="17" spans="1:5" x14ac:dyDescent="0.3">
      <c r="A17" s="1">
        <v>46087</v>
      </c>
      <c r="B17" t="s">
        <v>265</v>
      </c>
      <c r="C17" t="str">
        <f>_xlfn.XLOOKUP(B17,'Customer Receivables'!A:A,'Customer Receivables'!B:B," ")</f>
        <v>C-002</v>
      </c>
      <c r="D17">
        <v>4050</v>
      </c>
      <c r="E17" t="s">
        <v>83</v>
      </c>
    </row>
    <row r="18" spans="1:5" x14ac:dyDescent="0.3">
      <c r="A18" s="1">
        <v>46201</v>
      </c>
      <c r="B18" t="s">
        <v>265</v>
      </c>
      <c r="C18" t="str">
        <f>_xlfn.XLOOKUP(B18,'Customer Receivables'!A:A,'Customer Receivables'!B:B," ")</f>
        <v>C-002</v>
      </c>
      <c r="D18">
        <v>-2500</v>
      </c>
      <c r="E18" t="s">
        <v>96</v>
      </c>
    </row>
    <row r="19" spans="1:5" x14ac:dyDescent="0.3">
      <c r="A19" s="1">
        <v>46208</v>
      </c>
      <c r="B19" t="s">
        <v>265</v>
      </c>
      <c r="C19" t="str">
        <f>_xlfn.XLOOKUP(B19,'Customer Receivables'!A:A,'Customer Receivables'!B:B," ")</f>
        <v>C-002</v>
      </c>
      <c r="D19">
        <v>-13200</v>
      </c>
      <c r="E19" t="s">
        <v>118</v>
      </c>
    </row>
    <row r="20" spans="1:5" x14ac:dyDescent="0.3">
      <c r="A20" s="1">
        <v>46209</v>
      </c>
      <c r="B20" t="s">
        <v>265</v>
      </c>
      <c r="C20" t="str">
        <f>_xlfn.XLOOKUP(B20,'Customer Receivables'!A:A,'Customer Receivables'!B:B," ")</f>
        <v>C-002</v>
      </c>
      <c r="D20">
        <v>-4400</v>
      </c>
      <c r="E20" t="s">
        <v>119</v>
      </c>
    </row>
    <row r="21" spans="1:5" x14ac:dyDescent="0.3">
      <c r="A21" s="1">
        <v>46209</v>
      </c>
      <c r="B21" t="s">
        <v>265</v>
      </c>
      <c r="C21" t="str">
        <f>_xlfn.XLOOKUP(B21,'Customer Receivables'!A:A,'Customer Receivables'!B:B," ")</f>
        <v>C-002</v>
      </c>
      <c r="D21">
        <v>-1650</v>
      </c>
      <c r="E21" t="s">
        <v>120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414A2B7490C14EA65D67834127FCB0" ma:contentTypeVersion="10" ma:contentTypeDescription="Create a new document." ma:contentTypeScope="" ma:versionID="2e495895496b2740ff6cb7db75400d8c">
  <xsd:schema xmlns:xsd="http://www.w3.org/2001/XMLSchema" xmlns:xs="http://www.w3.org/2001/XMLSchema" xmlns:p="http://schemas.microsoft.com/office/2006/metadata/properties" xmlns:ns3="c92d12d2-483d-4a15-b75f-f923a6878c5d" targetNamespace="http://schemas.microsoft.com/office/2006/metadata/properties" ma:root="true" ma:fieldsID="920fc491290ea619c42dcfb99da5a374" ns3:_="">
    <xsd:import namespace="c92d12d2-483d-4a15-b75f-f923a6878c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d12d2-483d-4a15-b75f-f923a6878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A72D73F-C070-4CF9-8395-D2178E06A888}">
  <ds:schemaRefs>
    <ds:schemaRef ds:uri="http://schemas.openxmlformats.org/package/2006/metadata/core-properties"/>
    <ds:schemaRef ds:uri="c92d12d2-483d-4a15-b75f-f923a6878c5d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EF7E1A-02E6-46C3-BA17-2288FD5B23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2EA0A9-E867-4BFC-B2D1-37D66A93CA5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92d12d2-483d-4a15-b75f-f923a6878c5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9917F18-F770-4588-AE77-3C53CACA8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Lumber Yard Dashboard </vt:lpstr>
      <vt:lpstr>Sales</vt:lpstr>
      <vt:lpstr>Inventory Movement</vt:lpstr>
      <vt:lpstr>Collections </vt:lpstr>
      <vt:lpstr>Accounts (Cash Accounts)</vt:lpstr>
      <vt:lpstr>Expenses</vt:lpstr>
      <vt:lpstr>Customer Receivables</vt:lpstr>
      <vt:lpstr>Wood Cutting</vt:lpstr>
      <vt:lpstr>Supplier Payments</vt:lpstr>
      <vt:lpstr>Suppliers</vt:lpstr>
      <vt:lpstr>Purchase Summary</vt:lpstr>
      <vt:lpstr>Purchase Details</vt:lpstr>
      <vt:lpstr>Opening Receivables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اسلام المحمدى عبد المنعم زلط</dc:creator>
  <cp:lastModifiedBy>محمد اسلام المحمدى عبد المنعم زلط</cp:lastModifiedBy>
  <dcterms:created xsi:type="dcterms:W3CDTF">2026-06-22T15:30:10Z</dcterms:created>
  <dcterms:modified xsi:type="dcterms:W3CDTF">2026-08-08T13:59:01Z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0x010100A3414A2B7490C14EA65D67834127FCB0</vt:lpwstr>
  </property>
</Properties>
</file>